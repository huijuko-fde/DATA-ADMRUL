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장윤희\Desktop\2026년\훈령 개정 등\2026.8.1.자 하부조직 정원(운영정원)\"/>
    </mc:Choice>
  </mc:AlternateContent>
  <bookViews>
    <workbookView xWindow="0" yWindow="0" windowWidth="28800" windowHeight="12060" activeTab="2"/>
  </bookViews>
  <sheets>
    <sheet name="기준 정원(2026.7.22.)" sheetId="37" r:id="rId1"/>
    <sheet name="운영 정원(2026.7.22.)" sheetId="39" r:id="rId2"/>
    <sheet name="운영 정원(2026.8.1.)" sheetId="40" r:id="rId3"/>
    <sheet name="운영 정원(2027.4.1.)" sheetId="41" r:id="rId4"/>
    <sheet name="운영 정원(2028.1.1.)" sheetId="42" r:id="rId5"/>
  </sheets>
  <definedNames>
    <definedName name="_xlnm.Print_Area" localSheetId="0">'기준 정원(2026.7.22.)'!$A$1:$AO$26</definedName>
    <definedName name="_xlnm.Print_Area" localSheetId="1">'운영 정원(2026.7.22.)'!$A$1:$AP$26</definedName>
    <definedName name="_xlnm.Print_Area" localSheetId="2">'운영 정원(2026.8.1.)'!$A$1:$AP$26</definedName>
    <definedName name="_xlnm.Print_Area" localSheetId="3">'운영 정원(2027.4.1.)'!$A$1:$AP$26</definedName>
    <definedName name="_xlnm.Print_Area" localSheetId="4">'운영 정원(2028.1.1.)'!$A$1:$AP$26</definedName>
  </definedNames>
  <calcPr calcId="162913"/>
  <fileRecoveryPr autoRecover="0"/>
</workbook>
</file>

<file path=xl/calcChain.xml><?xml version="1.0" encoding="utf-8"?>
<calcChain xmlns="http://schemas.openxmlformats.org/spreadsheetml/2006/main">
  <c r="AD8" i="37" l="1"/>
  <c r="C26" i="42" l="1"/>
  <c r="B26" i="42"/>
  <c r="C25" i="42"/>
  <c r="B25" i="42"/>
  <c r="C24" i="42"/>
  <c r="B24" i="42" s="1"/>
  <c r="C23" i="42"/>
  <c r="B23" i="42" s="1"/>
  <c r="C22" i="42"/>
  <c r="B22" i="42" s="1"/>
  <c r="C21" i="42"/>
  <c r="B21" i="42" s="1"/>
  <c r="C20" i="42"/>
  <c r="B20" i="42"/>
  <c r="C19" i="42"/>
  <c r="B19" i="42" s="1"/>
  <c r="C18" i="42"/>
  <c r="B18" i="42" s="1"/>
  <c r="C17" i="42"/>
  <c r="B17" i="42" s="1"/>
  <c r="C16" i="42"/>
  <c r="B16" i="42"/>
  <c r="C15" i="42"/>
  <c r="B15" i="42" s="1"/>
  <c r="AP14" i="42"/>
  <c r="AO14" i="42"/>
  <c r="AN14" i="42"/>
  <c r="AM14" i="42"/>
  <c r="AL14" i="42"/>
  <c r="AK14" i="42"/>
  <c r="AJ14" i="42"/>
  <c r="AI14" i="42"/>
  <c r="AH14" i="42"/>
  <c r="AH8" i="42" s="1"/>
  <c r="AG14" i="42"/>
  <c r="AG8" i="42" s="1"/>
  <c r="AF14" i="42"/>
  <c r="AF8" i="42" s="1"/>
  <c r="AE14" i="42"/>
  <c r="AE8" i="42" s="1"/>
  <c r="AD14" i="42"/>
  <c r="AD8" i="42" s="1"/>
  <c r="AC14" i="42"/>
  <c r="AC8" i="42" s="1"/>
  <c r="AB14" i="42"/>
  <c r="AA14" i="42"/>
  <c r="AA8" i="42" s="1"/>
  <c r="Z14" i="42"/>
  <c r="Z8" i="42" s="1"/>
  <c r="Y14" i="42"/>
  <c r="X14" i="42"/>
  <c r="W14" i="42"/>
  <c r="V14" i="42"/>
  <c r="U14" i="42"/>
  <c r="T14" i="42"/>
  <c r="S14" i="42"/>
  <c r="R14" i="42"/>
  <c r="Q14" i="42"/>
  <c r="P14" i="42"/>
  <c r="O14" i="42"/>
  <c r="N14" i="42"/>
  <c r="N8" i="42" s="1"/>
  <c r="M14" i="42"/>
  <c r="M8" i="42" s="1"/>
  <c r="L14" i="42"/>
  <c r="L8" i="42" s="1"/>
  <c r="K14" i="42"/>
  <c r="K8" i="42" s="1"/>
  <c r="J14" i="42"/>
  <c r="J8" i="42" s="1"/>
  <c r="I14" i="42"/>
  <c r="I8" i="42" s="1"/>
  <c r="H14" i="42"/>
  <c r="G14" i="42"/>
  <c r="E14" i="42"/>
  <c r="D14" i="42"/>
  <c r="C13" i="42"/>
  <c r="B13" i="42"/>
  <c r="C12" i="42"/>
  <c r="B12" i="42" s="1"/>
  <c r="C11" i="42"/>
  <c r="B11" i="42" s="1"/>
  <c r="C10" i="42"/>
  <c r="B10" i="42"/>
  <c r="AP9" i="42"/>
  <c r="AO9" i="42"/>
  <c r="AN9" i="42"/>
  <c r="AM9" i="42"/>
  <c r="AL9" i="42"/>
  <c r="AK9" i="42"/>
  <c r="AJ9" i="42"/>
  <c r="AI9" i="42"/>
  <c r="AI8" i="42" s="1"/>
  <c r="AH9" i="42"/>
  <c r="AG9" i="42"/>
  <c r="AF9" i="42"/>
  <c r="AE9" i="42"/>
  <c r="AD9" i="42"/>
  <c r="AC9" i="42"/>
  <c r="AB9" i="42"/>
  <c r="AB8" i="42" s="1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O8" i="42" s="1"/>
  <c r="N9" i="42"/>
  <c r="M9" i="42"/>
  <c r="L9" i="42"/>
  <c r="K9" i="42"/>
  <c r="J9" i="42"/>
  <c r="I9" i="42"/>
  <c r="H9" i="42"/>
  <c r="H8" i="42" s="1"/>
  <c r="G9" i="42"/>
  <c r="F9" i="42"/>
  <c r="E9" i="42"/>
  <c r="D9" i="42"/>
  <c r="AP8" i="42"/>
  <c r="AO8" i="42"/>
  <c r="AN8" i="42"/>
  <c r="AM8" i="42"/>
  <c r="AL8" i="42"/>
  <c r="AK8" i="42"/>
  <c r="AJ8" i="42"/>
  <c r="Y8" i="42"/>
  <c r="X8" i="42"/>
  <c r="W8" i="42"/>
  <c r="V8" i="42"/>
  <c r="U8" i="42"/>
  <c r="T8" i="42"/>
  <c r="S8" i="42"/>
  <c r="R8" i="42"/>
  <c r="Q8" i="42"/>
  <c r="P8" i="42"/>
  <c r="F8" i="42"/>
  <c r="E8" i="42"/>
  <c r="D8" i="42"/>
  <c r="C26" i="41"/>
  <c r="B26" i="41" s="1"/>
  <c r="C25" i="41"/>
  <c r="B25" i="41"/>
  <c r="C24" i="41"/>
  <c r="B24" i="41"/>
  <c r="C23" i="41"/>
  <c r="B23" i="41" s="1"/>
  <c r="C22" i="41"/>
  <c r="B22" i="41" s="1"/>
  <c r="C21" i="41"/>
  <c r="B21" i="41" s="1"/>
  <c r="C20" i="41"/>
  <c r="B20" i="41" s="1"/>
  <c r="C19" i="41"/>
  <c r="B19" i="41" s="1"/>
  <c r="C18" i="41"/>
  <c r="B18" i="41" s="1"/>
  <c r="C17" i="41"/>
  <c r="B17" i="41"/>
  <c r="C16" i="41"/>
  <c r="B16" i="41" s="1"/>
  <c r="C15" i="41"/>
  <c r="B15" i="41" s="1"/>
  <c r="AP14" i="41"/>
  <c r="AO14" i="41"/>
  <c r="AN14" i="41"/>
  <c r="AM14" i="41"/>
  <c r="AL14" i="41"/>
  <c r="AL8" i="41" s="1"/>
  <c r="AK14" i="41"/>
  <c r="AJ14" i="41"/>
  <c r="AI14" i="41"/>
  <c r="AH14" i="41"/>
  <c r="AG14" i="41"/>
  <c r="AG8" i="41" s="1"/>
  <c r="AF14" i="41"/>
  <c r="AF8" i="41" s="1"/>
  <c r="AE14" i="41"/>
  <c r="AD14" i="41"/>
  <c r="AD8" i="41" s="1"/>
  <c r="AC14" i="41"/>
  <c r="AC8" i="41" s="1"/>
  <c r="AB14" i="41"/>
  <c r="AB8" i="41" s="1"/>
  <c r="AA14" i="41"/>
  <c r="AA8" i="41" s="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M8" i="41" s="1"/>
  <c r="L14" i="41"/>
  <c r="L8" i="41" s="1"/>
  <c r="K14" i="41"/>
  <c r="K8" i="41" s="1"/>
  <c r="J14" i="41"/>
  <c r="J8" i="41" s="1"/>
  <c r="I14" i="41"/>
  <c r="I8" i="41" s="1"/>
  <c r="H14" i="41"/>
  <c r="H8" i="41" s="1"/>
  <c r="G14" i="41"/>
  <c r="G8" i="41" s="1"/>
  <c r="E14" i="41"/>
  <c r="E8" i="41" s="1"/>
  <c r="D14" i="41"/>
  <c r="C13" i="41"/>
  <c r="B13" i="41"/>
  <c r="C12" i="41"/>
  <c r="B12" i="41"/>
  <c r="C11" i="41"/>
  <c r="B11" i="41" s="1"/>
  <c r="C10" i="41"/>
  <c r="B10" i="41"/>
  <c r="AP9" i="41"/>
  <c r="AO9" i="41"/>
  <c r="AN9" i="41"/>
  <c r="AM9" i="41"/>
  <c r="AL9" i="41"/>
  <c r="AK9" i="41"/>
  <c r="AJ9" i="41"/>
  <c r="AI9" i="41"/>
  <c r="AI8" i="41" s="1"/>
  <c r="AH9" i="41"/>
  <c r="AH8" i="41" s="1"/>
  <c r="AG9" i="41"/>
  <c r="AF9" i="41"/>
  <c r="AE9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O8" i="41" s="1"/>
  <c r="N9" i="41"/>
  <c r="N8" i="41" s="1"/>
  <c r="M9" i="41"/>
  <c r="L9" i="41"/>
  <c r="K9" i="41"/>
  <c r="J9" i="41"/>
  <c r="I9" i="41"/>
  <c r="H9" i="41"/>
  <c r="G9" i="41"/>
  <c r="F9" i="41"/>
  <c r="E9" i="41"/>
  <c r="D9" i="41"/>
  <c r="AP8" i="41"/>
  <c r="AO8" i="41"/>
  <c r="AN8" i="41"/>
  <c r="AM8" i="41"/>
  <c r="AK8" i="41"/>
  <c r="AJ8" i="41"/>
  <c r="Y8" i="41"/>
  <c r="X8" i="41"/>
  <c r="W8" i="41"/>
  <c r="V8" i="41"/>
  <c r="U8" i="41"/>
  <c r="T8" i="41"/>
  <c r="S8" i="41"/>
  <c r="R8" i="41"/>
  <c r="Q8" i="41"/>
  <c r="P8" i="41"/>
  <c r="F8" i="41"/>
  <c r="D8" i="41"/>
  <c r="C26" i="40"/>
  <c r="B26" i="40" s="1"/>
  <c r="C25" i="40"/>
  <c r="B25" i="40" s="1"/>
  <c r="C24" i="40"/>
  <c r="B24" i="40" s="1"/>
  <c r="C23" i="40"/>
  <c r="B23" i="40"/>
  <c r="C22" i="40"/>
  <c r="B22" i="40" s="1"/>
  <c r="C21" i="40"/>
  <c r="B21" i="40"/>
  <c r="C20" i="40"/>
  <c r="B20" i="40"/>
  <c r="C19" i="40"/>
  <c r="B19" i="40" s="1"/>
  <c r="C18" i="40"/>
  <c r="B18" i="40"/>
  <c r="C17" i="40"/>
  <c r="B17" i="40"/>
  <c r="C16" i="40"/>
  <c r="B16" i="40"/>
  <c r="C15" i="40"/>
  <c r="B15" i="40" s="1"/>
  <c r="AP14" i="40"/>
  <c r="AO14" i="40"/>
  <c r="AN14" i="40"/>
  <c r="AM14" i="40"/>
  <c r="AL14" i="40"/>
  <c r="AK14" i="40"/>
  <c r="AJ14" i="40"/>
  <c r="AI14" i="40"/>
  <c r="AH14" i="40"/>
  <c r="AG14" i="40"/>
  <c r="AF14" i="40"/>
  <c r="AE14" i="40"/>
  <c r="AD14" i="40"/>
  <c r="AD8" i="40" s="1"/>
  <c r="AC14" i="40"/>
  <c r="AC8" i="40" s="1"/>
  <c r="AB14" i="40"/>
  <c r="AB8" i="40" s="1"/>
  <c r="AA14" i="40"/>
  <c r="AA8" i="40" s="1"/>
  <c r="Z14" i="40"/>
  <c r="Y14" i="40"/>
  <c r="Y8" i="40" s="1"/>
  <c r="X14" i="40"/>
  <c r="X8" i="40" s="1"/>
  <c r="W14" i="40"/>
  <c r="V14" i="40"/>
  <c r="U14" i="40"/>
  <c r="T14" i="40"/>
  <c r="S14" i="40"/>
  <c r="R14" i="40"/>
  <c r="Q14" i="40"/>
  <c r="P14" i="40"/>
  <c r="O14" i="40"/>
  <c r="N14" i="40"/>
  <c r="N8" i="40" s="1"/>
  <c r="M14" i="40"/>
  <c r="L14" i="40"/>
  <c r="K14" i="40"/>
  <c r="K8" i="40" s="1"/>
  <c r="J14" i="40"/>
  <c r="J8" i="40" s="1"/>
  <c r="I14" i="40"/>
  <c r="I8" i="40" s="1"/>
  <c r="H14" i="40"/>
  <c r="H8" i="40" s="1"/>
  <c r="G14" i="40"/>
  <c r="G8" i="40" s="1"/>
  <c r="E14" i="40"/>
  <c r="E8" i="40" s="1"/>
  <c r="D14" i="40"/>
  <c r="D8" i="40" s="1"/>
  <c r="C13" i="40"/>
  <c r="B13" i="40"/>
  <c r="C12" i="40"/>
  <c r="B12" i="40"/>
  <c r="C11" i="40"/>
  <c r="B11" i="40" s="1"/>
  <c r="C10" i="40"/>
  <c r="B10" i="40"/>
  <c r="AP9" i="40"/>
  <c r="AO9" i="40"/>
  <c r="AN9" i="40"/>
  <c r="AM9" i="40"/>
  <c r="AL9" i="40"/>
  <c r="AK9" i="40"/>
  <c r="AJ9" i="40"/>
  <c r="AI9" i="40"/>
  <c r="AH9" i="40"/>
  <c r="AG9" i="40"/>
  <c r="AF9" i="40"/>
  <c r="AF8" i="40" s="1"/>
  <c r="AE9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L8" i="40" s="1"/>
  <c r="K9" i="40"/>
  <c r="J9" i="40"/>
  <c r="I9" i="40"/>
  <c r="H9" i="40"/>
  <c r="G9" i="40"/>
  <c r="F9" i="40"/>
  <c r="E9" i="40"/>
  <c r="D9" i="40"/>
  <c r="AP8" i="40"/>
  <c r="AO8" i="40"/>
  <c r="AN8" i="40"/>
  <c r="AM8" i="40"/>
  <c r="AL8" i="40"/>
  <c r="AK8" i="40"/>
  <c r="AJ8" i="40"/>
  <c r="AI8" i="40"/>
  <c r="AH8" i="40"/>
  <c r="AG8" i="40"/>
  <c r="W8" i="40"/>
  <c r="V8" i="40"/>
  <c r="U8" i="40"/>
  <c r="T8" i="40"/>
  <c r="S8" i="40"/>
  <c r="R8" i="40"/>
  <c r="Q8" i="40"/>
  <c r="P8" i="40"/>
  <c r="O8" i="40"/>
  <c r="M8" i="40"/>
  <c r="F8" i="40"/>
  <c r="C14" i="42" l="1"/>
  <c r="B14" i="42" s="1"/>
  <c r="C9" i="42"/>
  <c r="B9" i="42" s="1"/>
  <c r="G8" i="42"/>
  <c r="C8" i="42" s="1"/>
  <c r="B8" i="42" s="1"/>
  <c r="Z8" i="41"/>
  <c r="C14" i="41"/>
  <c r="B14" i="41" s="1"/>
  <c r="AE8" i="41"/>
  <c r="C9" i="41"/>
  <c r="B9" i="41" s="1"/>
  <c r="AE8" i="40"/>
  <c r="Z8" i="40"/>
  <c r="C14" i="40"/>
  <c r="B14" i="40" s="1"/>
  <c r="C9" i="40"/>
  <c r="B9" i="40" s="1"/>
  <c r="I14" i="39"/>
  <c r="I9" i="39"/>
  <c r="I8" i="39" s="1"/>
  <c r="I14" i="37"/>
  <c r="I9" i="37"/>
  <c r="I8" i="37"/>
  <c r="C8" i="40" l="1"/>
  <c r="B8" i="40" s="1"/>
  <c r="C8" i="41"/>
  <c r="B8" i="41" s="1"/>
  <c r="C17" i="37"/>
  <c r="C26" i="39" l="1"/>
  <c r="C25" i="39"/>
  <c r="B25" i="39" s="1"/>
  <c r="C26" i="37"/>
  <c r="B26" i="37" s="1"/>
  <c r="C25" i="37"/>
  <c r="B25" i="37" s="1"/>
  <c r="P14" i="39" l="1"/>
  <c r="P9" i="39"/>
  <c r="F9" i="39"/>
  <c r="F8" i="39" s="1"/>
  <c r="G9" i="37"/>
  <c r="C11" i="37"/>
  <c r="B11" i="37" s="1"/>
  <c r="C10" i="37"/>
  <c r="B10" i="37" s="1"/>
  <c r="F9" i="37"/>
  <c r="F8" i="37" s="1"/>
  <c r="U14" i="39"/>
  <c r="V14" i="39"/>
  <c r="U9" i="39"/>
  <c r="V9" i="39"/>
  <c r="B26" i="39"/>
  <c r="C24" i="39"/>
  <c r="B24" i="39" s="1"/>
  <c r="C23" i="39"/>
  <c r="B23" i="39" s="1"/>
  <c r="C22" i="39"/>
  <c r="B22" i="39" s="1"/>
  <c r="C21" i="39"/>
  <c r="B21" i="39" s="1"/>
  <c r="C20" i="39"/>
  <c r="B20" i="39" s="1"/>
  <c r="C19" i="39"/>
  <c r="B19" i="39" s="1"/>
  <c r="C18" i="39"/>
  <c r="B18" i="39" s="1"/>
  <c r="C17" i="39"/>
  <c r="B17" i="39" s="1"/>
  <c r="C16" i="39"/>
  <c r="B16" i="39" s="1"/>
  <c r="C15" i="39"/>
  <c r="B15" i="39" s="1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T14" i="39"/>
  <c r="S14" i="39"/>
  <c r="R14" i="39"/>
  <c r="Q14" i="39"/>
  <c r="O14" i="39"/>
  <c r="N14" i="39"/>
  <c r="M14" i="39"/>
  <c r="L14" i="39"/>
  <c r="K14" i="39"/>
  <c r="J14" i="39"/>
  <c r="H14" i="39"/>
  <c r="G14" i="39"/>
  <c r="E14" i="39"/>
  <c r="D14" i="39"/>
  <c r="C13" i="39"/>
  <c r="B13" i="39" s="1"/>
  <c r="C12" i="39"/>
  <c r="B12" i="39" s="1"/>
  <c r="C11" i="39"/>
  <c r="B11" i="39" s="1"/>
  <c r="C10" i="39"/>
  <c r="B10" i="39" s="1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T9" i="39"/>
  <c r="S9" i="39"/>
  <c r="R9" i="39"/>
  <c r="Q9" i="39"/>
  <c r="O9" i="39"/>
  <c r="N9" i="39"/>
  <c r="M9" i="39"/>
  <c r="L9" i="39"/>
  <c r="K9" i="39"/>
  <c r="J9" i="39"/>
  <c r="H9" i="39"/>
  <c r="G9" i="39"/>
  <c r="E9" i="39"/>
  <c r="D9" i="39"/>
  <c r="T14" i="37"/>
  <c r="U14" i="37"/>
  <c r="T9" i="37"/>
  <c r="U9" i="37"/>
  <c r="C24" i="37"/>
  <c r="B24" i="37" s="1"/>
  <c r="C23" i="37"/>
  <c r="B23" i="37" s="1"/>
  <c r="C22" i="37"/>
  <c r="B22" i="37" s="1"/>
  <c r="C21" i="37"/>
  <c r="B21" i="37" s="1"/>
  <c r="C20" i="37"/>
  <c r="B20" i="37" s="1"/>
  <c r="C19" i="37"/>
  <c r="B19" i="37" s="1"/>
  <c r="C18" i="37"/>
  <c r="B18" i="37" s="1"/>
  <c r="B17" i="37"/>
  <c r="C16" i="37"/>
  <c r="B16" i="37" s="1"/>
  <c r="C15" i="37"/>
  <c r="B15" i="37" s="1"/>
  <c r="AO14" i="37"/>
  <c r="AN14" i="37"/>
  <c r="AM14" i="37"/>
  <c r="AL14" i="37"/>
  <c r="AK14" i="37"/>
  <c r="AK8" i="37" s="1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S14" i="37"/>
  <c r="R14" i="37"/>
  <c r="Q14" i="37"/>
  <c r="P14" i="37"/>
  <c r="O14" i="37"/>
  <c r="N14" i="37"/>
  <c r="M14" i="37"/>
  <c r="L14" i="37"/>
  <c r="K14" i="37"/>
  <c r="J14" i="37"/>
  <c r="H14" i="37"/>
  <c r="G14" i="37"/>
  <c r="E14" i="37"/>
  <c r="D14" i="37"/>
  <c r="C13" i="37"/>
  <c r="B13" i="37" s="1"/>
  <c r="C12" i="37"/>
  <c r="B12" i="37" s="1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C8" i="37" s="1"/>
  <c r="AB9" i="37"/>
  <c r="AB8" i="37" s="1"/>
  <c r="AA9" i="37"/>
  <c r="Z9" i="37"/>
  <c r="Y9" i="37"/>
  <c r="X9" i="37"/>
  <c r="W9" i="37"/>
  <c r="V9" i="37"/>
  <c r="S9" i="37"/>
  <c r="R9" i="37"/>
  <c r="Q9" i="37"/>
  <c r="P9" i="37"/>
  <c r="O9" i="37"/>
  <c r="N9" i="37"/>
  <c r="M9" i="37"/>
  <c r="L9" i="37"/>
  <c r="K9" i="37"/>
  <c r="J9" i="37"/>
  <c r="H9" i="37"/>
  <c r="E9" i="37"/>
  <c r="D9" i="37"/>
  <c r="AO8" i="37"/>
  <c r="P8" i="37" l="1"/>
  <c r="AI8" i="37"/>
  <c r="O8" i="37"/>
  <c r="AL8" i="37"/>
  <c r="M8" i="37"/>
  <c r="W8" i="37"/>
  <c r="AG8" i="37"/>
  <c r="E8" i="37"/>
  <c r="K8" i="37"/>
  <c r="Q8" i="39"/>
  <c r="E8" i="39"/>
  <c r="O8" i="39"/>
  <c r="AL8" i="39"/>
  <c r="AJ8" i="37"/>
  <c r="AF8" i="37"/>
  <c r="S8" i="37"/>
  <c r="X8" i="39"/>
  <c r="AF8" i="39"/>
  <c r="V8" i="39"/>
  <c r="P8" i="39"/>
  <c r="AN8" i="37"/>
  <c r="G8" i="39"/>
  <c r="L8" i="39"/>
  <c r="T8" i="39"/>
  <c r="W8" i="39"/>
  <c r="AI8" i="39"/>
  <c r="AM8" i="39"/>
  <c r="AK8" i="39"/>
  <c r="AO8" i="39"/>
  <c r="U8" i="39"/>
  <c r="R8" i="39"/>
  <c r="D8" i="39"/>
  <c r="D8" i="37"/>
  <c r="R8" i="37"/>
  <c r="Y8" i="39"/>
  <c r="AG8" i="39"/>
  <c r="K8" i="39"/>
  <c r="AD8" i="39"/>
  <c r="AH8" i="39"/>
  <c r="U8" i="37"/>
  <c r="H8" i="37"/>
  <c r="G8" i="37"/>
  <c r="X8" i="37"/>
  <c r="AE8" i="37"/>
  <c r="L8" i="37"/>
  <c r="V8" i="37"/>
  <c r="J8" i="37"/>
  <c r="Q8" i="37"/>
  <c r="Z8" i="37"/>
  <c r="AH8" i="37"/>
  <c r="T8" i="37"/>
  <c r="AC8" i="39"/>
  <c r="J8" i="39"/>
  <c r="AP8" i="39"/>
  <c r="AJ8" i="39"/>
  <c r="AN8" i="39"/>
  <c r="H8" i="39"/>
  <c r="M8" i="39"/>
  <c r="AE8" i="39"/>
  <c r="AA8" i="39"/>
  <c r="N8" i="39"/>
  <c r="S8" i="39"/>
  <c r="Z8" i="39"/>
  <c r="AA8" i="37"/>
  <c r="Y8" i="37"/>
  <c r="AM8" i="37"/>
  <c r="C9" i="39"/>
  <c r="B9" i="39" s="1"/>
  <c r="AB8" i="39"/>
  <c r="C9" i="37"/>
  <c r="B9" i="37" s="1"/>
  <c r="C14" i="37"/>
  <c r="B14" i="37" s="1"/>
  <c r="N8" i="37"/>
  <c r="C14" i="39"/>
  <c r="B14" i="39" s="1"/>
  <c r="C8" i="37" l="1"/>
  <c r="B8" i="37" s="1"/>
  <c r="C8" i="39"/>
  <c r="B8" i="39" s="1"/>
</calcChain>
</file>

<file path=xl/sharedStrings.xml><?xml version="1.0" encoding="utf-8"?>
<sst xmlns="http://schemas.openxmlformats.org/spreadsheetml/2006/main" count="364" uniqueCount="84">
  <si>
    <t>[별표 1]- 산림항공본부 하부조직별 정원에 관한 규정 제2조 관련</t>
    <phoneticPr fontId="1" type="noConversion"/>
  </si>
  <si>
    <t>항  공  지  원  과</t>
    <phoneticPr fontId="3" type="noConversion"/>
  </si>
  <si>
    <t>산  림  항  공  과</t>
    <phoneticPr fontId="3" type="noConversion"/>
  </si>
  <si>
    <t>항  공  정  비  과</t>
    <phoneticPr fontId="3" type="noConversion"/>
  </si>
  <si>
    <t>항  공  안  전  과</t>
    <phoneticPr fontId="3" type="noConversion"/>
  </si>
  <si>
    <t>익산산림항공관리소</t>
    <phoneticPr fontId="3" type="noConversion"/>
  </si>
  <si>
    <t>양산산림항공관리소</t>
    <phoneticPr fontId="3" type="noConversion"/>
  </si>
  <si>
    <t>영암산림항공관리소</t>
    <phoneticPr fontId="3" type="noConversion"/>
  </si>
  <si>
    <t>안동산림항공관리소</t>
    <phoneticPr fontId="3" type="noConversion"/>
  </si>
  <si>
    <t>강릉산림항공관리소</t>
    <phoneticPr fontId="3" type="noConversion"/>
  </si>
  <si>
    <t>진천산림항공관리소</t>
    <phoneticPr fontId="3" type="noConversion"/>
  </si>
  <si>
    <t>함양산림항공관리소</t>
    <phoneticPr fontId="3" type="noConversion"/>
  </si>
  <si>
    <t>청양산림항공관리소</t>
    <phoneticPr fontId="3" type="noConversion"/>
  </si>
  <si>
    <t>본      부       계</t>
    <phoneticPr fontId="3" type="noConversion"/>
  </si>
  <si>
    <t>총               계</t>
    <phoneticPr fontId="3" type="noConversion"/>
  </si>
  <si>
    <t>항공관리소       계</t>
    <phoneticPr fontId="3" type="noConversion"/>
  </si>
  <si>
    <t>서울산림항공관리소</t>
    <phoneticPr fontId="1" type="noConversion"/>
  </si>
  <si>
    <t>산 림 항 공 본 부   기 준 정 원 표</t>
    <phoneticPr fontId="3" type="noConversion"/>
  </si>
  <si>
    <t>울진산림항공관리소</t>
    <phoneticPr fontId="3" type="noConversion"/>
  </si>
  <si>
    <t>9급</t>
    <phoneticPr fontId="1" type="noConversion"/>
  </si>
  <si>
    <t xml:space="preserve">             
            직급별
조직별</t>
    <phoneticPr fontId="3" type="noConversion"/>
  </si>
  <si>
    <t>제주산림항공관리소</t>
    <phoneticPr fontId="3" type="noConversion"/>
  </si>
  <si>
    <t xml:space="preserve">   일           반            직</t>
    <phoneticPr fontId="3" type="noConversion"/>
  </si>
  <si>
    <t>소
계</t>
    <phoneticPr fontId="3" type="noConversion"/>
  </si>
  <si>
    <t xml:space="preserve">
고
위
공
무
원
단
소
속
일
반
직
</t>
    <phoneticPr fontId="3" type="noConversion"/>
  </si>
  <si>
    <t>4 급</t>
    <phoneticPr fontId="3" type="noConversion"/>
  </si>
  <si>
    <t>5급</t>
    <phoneticPr fontId="3" type="noConversion"/>
  </si>
  <si>
    <t>6급</t>
    <phoneticPr fontId="3" type="noConversion"/>
  </si>
  <si>
    <t>7급</t>
    <phoneticPr fontId="1" type="noConversion"/>
  </si>
  <si>
    <t>8급</t>
    <phoneticPr fontId="3" type="noConversion"/>
  </si>
  <si>
    <t>관리운영직군</t>
    <phoneticPr fontId="1" type="noConversion"/>
  </si>
  <si>
    <t>행또
정는 
사
무항
관공
 · 사
임무
업관
사
무
관</t>
    <phoneticPr fontId="3" type="noConversion"/>
  </si>
  <si>
    <t xml:space="preserve"> 행항
 정공
 사사
 무무
 관관
 또
 는
</t>
    <phoneticPr fontId="3" type="noConversion"/>
  </si>
  <si>
    <t xml:space="preserve">행
정
주
사
</t>
    <phoneticPr fontId="3" type="noConversion"/>
  </si>
  <si>
    <t xml:space="preserve">행또
정는주
사항
 · 공
임주
업사
주
사
</t>
    <phoneticPr fontId="3" type="noConversion"/>
  </si>
  <si>
    <t xml:space="preserve">행또
정는주
사방
 · 재
임안
업전
주주
사사
</t>
    <phoneticPr fontId="3" type="noConversion"/>
  </si>
  <si>
    <t xml:space="preserve">임
업
주
사
</t>
    <phoneticPr fontId="3" type="noConversion"/>
  </si>
  <si>
    <t>방
송
통
신
주
사</t>
    <phoneticPr fontId="1" type="noConversion"/>
  </si>
  <si>
    <t>항공주사(조종사)</t>
    <phoneticPr fontId="1" type="noConversion"/>
  </si>
  <si>
    <t>항공주사(정비사)</t>
    <phoneticPr fontId="1" type="noConversion"/>
  </si>
  <si>
    <t>행임
정업
주주
사사
보보
또
는</t>
    <phoneticPr fontId="3" type="noConversion"/>
  </si>
  <si>
    <t>전산주사보</t>
    <phoneticPr fontId="1" type="noConversion"/>
  </si>
  <si>
    <t>방송통신주사보</t>
    <phoneticPr fontId="1" type="noConversion"/>
  </si>
  <si>
    <t>운전주사보</t>
    <phoneticPr fontId="1" type="noConversion"/>
  </si>
  <si>
    <t>임업주사보</t>
    <phoneticPr fontId="1" type="noConversion"/>
  </si>
  <si>
    <t>항공주사보(정비사)</t>
    <phoneticPr fontId="1" type="noConversion"/>
  </si>
  <si>
    <t xml:space="preserve">행임
정업
서서
기기
또
는
</t>
    <phoneticPr fontId="3" type="noConversion"/>
  </si>
  <si>
    <t xml:space="preserve">행또
정는
서
기항
 · 공
임서
업기
서
기
</t>
    <phoneticPr fontId="3" type="noConversion"/>
  </si>
  <si>
    <t>임
업
서
기</t>
    <phoneticPr fontId="1" type="noConversion"/>
  </si>
  <si>
    <t>방
송
통
신
서
기</t>
    <phoneticPr fontId="1" type="noConversion"/>
  </si>
  <si>
    <t>운
전
서
기</t>
    <phoneticPr fontId="1" type="noConversion"/>
  </si>
  <si>
    <t xml:space="preserve">행임
정업
서서
기기
보보
또
는
</t>
    <phoneticPr fontId="1" type="noConversion"/>
  </si>
  <si>
    <t>임
업
서
기
보</t>
    <phoneticPr fontId="1" type="noConversion"/>
  </si>
  <si>
    <t>방
송
통
신
서
기
보</t>
    <phoneticPr fontId="1" type="noConversion"/>
  </si>
  <si>
    <t>운
전
서
기
보</t>
    <phoneticPr fontId="1" type="noConversion"/>
  </si>
  <si>
    <t>산
림
보
호
운
영
서
기</t>
    <phoneticPr fontId="1" type="noConversion"/>
  </si>
  <si>
    <t>통
신
운
영
서
기</t>
    <phoneticPr fontId="1" type="noConversion"/>
  </si>
  <si>
    <t>산
림
보
호
운
영
서
기
보</t>
    <phoneticPr fontId="1" type="noConversion"/>
  </si>
  <si>
    <t>통
신
운
영
서
기
보</t>
    <phoneticPr fontId="1" type="noConversion"/>
  </si>
  <si>
    <t>사
무
운
영
서
기
보</t>
    <phoneticPr fontId="1" type="noConversion"/>
  </si>
  <si>
    <t>산 림 항 공 본 부   운 영 정 원 표</t>
    <phoneticPr fontId="3" type="noConversion"/>
  </si>
  <si>
    <t>항공주사(일반)</t>
    <phoneticPr fontId="1" type="noConversion"/>
  </si>
  <si>
    <t>항공주사보(일반)</t>
    <phoneticPr fontId="1" type="noConversion"/>
  </si>
  <si>
    <t xml:space="preserve"> 행항
 정공
 사사
 무무
 관관
 또
 는
</t>
    <phoneticPr fontId="3" type="noConversion"/>
  </si>
  <si>
    <t>시설주사보  
공업주사보 또는</t>
    <phoneticPr fontId="1" type="noConversion"/>
  </si>
  <si>
    <t>보건주사보</t>
    <phoneticPr fontId="1" type="noConversion"/>
  </si>
  <si>
    <t>행
정
주
사
· 
임
업
주
사</t>
    <phoneticPr fontId="3" type="noConversion"/>
  </si>
  <si>
    <t>운
전
주
사</t>
    <phoneticPr fontId="1" type="noConversion"/>
  </si>
  <si>
    <r>
      <t xml:space="preserve">총
계
</t>
    </r>
    <r>
      <rPr>
        <sz val="8"/>
        <color theme="1"/>
        <rFont val="새굴림"/>
        <family val="1"/>
        <charset val="129"/>
      </rPr>
      <t>|</t>
    </r>
    <r>
      <rPr>
        <b/>
        <sz val="10"/>
        <color theme="1"/>
        <rFont val="새굴림"/>
        <family val="1"/>
        <charset val="129"/>
      </rPr>
      <t xml:space="preserve">
</t>
    </r>
    <r>
      <rPr>
        <sz val="9"/>
        <color theme="1"/>
        <rFont val="새굴림"/>
        <family val="1"/>
        <charset val="129"/>
      </rPr>
      <t>일
반
직
+
시
간
제</t>
    </r>
    <r>
      <rPr>
        <b/>
        <sz val="10"/>
        <color theme="1"/>
        <rFont val="새굴림"/>
        <family val="1"/>
        <charset val="129"/>
      </rPr>
      <t xml:space="preserve">
</t>
    </r>
    <phoneticPr fontId="3" type="noConversion"/>
  </si>
  <si>
    <t xml:space="preserve">과
학
기
술
서
기
관
</t>
    <phoneticPr fontId="3" type="noConversion"/>
  </si>
  <si>
    <t>4 ·5급</t>
    <phoneticPr fontId="1" type="noConversion"/>
  </si>
  <si>
    <t>4 ·5급</t>
    <phoneticPr fontId="1" type="noConversion"/>
  </si>
  <si>
    <t>임업사무관 또는 항공사무관 
서기관·과학기술서기관·행정사무관·</t>
    <phoneticPr fontId="1" type="noConversion"/>
  </si>
  <si>
    <t>임업사무관 또는 항공사무관 
서기관·과학기술서기관·행정사무관</t>
    <phoneticPr fontId="1" type="noConversion"/>
  </si>
  <si>
    <t>비무장지대산림항공관리소</t>
    <phoneticPr fontId="3" type="noConversion"/>
  </si>
  <si>
    <t>임
업
사
무
관</t>
    <phoneticPr fontId="1" type="noConversion"/>
  </si>
  <si>
    <t>2026. 8. 1.시행</t>
    <phoneticPr fontId="1" type="noConversion"/>
  </si>
  <si>
    <t>2027. 4. 1.시행</t>
    <phoneticPr fontId="1" type="noConversion"/>
  </si>
  <si>
    <t>2028. 1. 1.시행</t>
    <phoneticPr fontId="1" type="noConversion"/>
  </si>
  <si>
    <t>2026. 7. 22.시행</t>
    <phoneticPr fontId="1" type="noConversion"/>
  </si>
  <si>
    <t>[별표 1의2]- 산림항공본부 하부조직별 정원에 관한 규정 제3조 관련</t>
    <phoneticPr fontId="1" type="noConversion"/>
  </si>
  <si>
    <t>[별표 1의3]- 산림항공본부 하부조직별 정원에 관한 규정 제3조 관련</t>
    <phoneticPr fontId="1" type="noConversion"/>
  </si>
  <si>
    <t>[별표 1의4]- 산림항공본부 하부조직별 정원에 관한 규정 제3조 관련</t>
    <phoneticPr fontId="1" type="noConversion"/>
  </si>
  <si>
    <t>[별표 1의5]- 산림항공본부 하부조직별 정원에 관한 규정 제3조 관련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</si>
</sst>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23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8"/>
      <name val="바탕"/>
      <family val="1"/>
      <charset val="129"/>
    </font>
    <font>
      <b/>
      <sz val="10"/>
      <color theme="1"/>
      <name val="새굴림"/>
      <family val="1"/>
      <charset val="129"/>
    </font>
    <font>
      <sz val="10"/>
      <color theme="1"/>
      <name val="새굴림"/>
      <family val="1"/>
      <charset val="129"/>
    </font>
    <font>
      <sz val="11"/>
      <color theme="1"/>
      <name val="돋움"/>
      <family val="3"/>
      <charset val="129"/>
    </font>
    <font>
      <b/>
      <sz val="10"/>
      <color theme="1"/>
      <name val="나눔고딕 Bold"/>
      <family val="3"/>
      <charset val="129"/>
    </font>
    <font>
      <b/>
      <sz val="22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1"/>
      <color theme="1"/>
      <name val="새굴림"/>
      <family val="1"/>
      <charset val="129"/>
    </font>
    <font>
      <sz val="9"/>
      <color theme="1"/>
      <name val="새굴림"/>
      <family val="1"/>
      <charset val="129"/>
    </font>
    <font>
      <b/>
      <sz val="10"/>
      <color theme="1"/>
      <name val="돋움"/>
      <family val="3"/>
      <charset val="129"/>
    </font>
    <font>
      <b/>
      <sz val="9"/>
      <color theme="1"/>
      <name val="새굴림"/>
      <family val="1"/>
      <charset val="129"/>
    </font>
    <font>
      <sz val="10"/>
      <color theme="1"/>
      <name val="돋움"/>
      <family val="3"/>
      <charset val="129"/>
    </font>
    <font>
      <sz val="28"/>
      <color theme="1"/>
      <name val="HY헤드라인M"/>
      <family val="1"/>
      <charset val="129"/>
    </font>
    <font>
      <sz val="11"/>
      <color theme="1"/>
      <name val="새굴림"/>
      <family val="1"/>
      <charset val="129"/>
    </font>
    <font>
      <sz val="8"/>
      <color theme="1"/>
      <name val="새굴림"/>
      <family val="1"/>
      <charset val="129"/>
    </font>
    <font>
      <sz val="10"/>
      <color theme="1"/>
      <name val="굴림"/>
      <family val="3"/>
      <charset val="129"/>
    </font>
    <font>
      <b/>
      <sz val="10"/>
      <color rgb="FF0000FF"/>
      <name val="새굴림"/>
      <family val="1"/>
      <charset val="129"/>
    </font>
    <font>
      <sz val="12"/>
      <color theme="1"/>
      <name val="굴림"/>
      <family val="3"/>
      <charset val="129"/>
    </font>
    <font>
      <b/>
      <sz val="10"/>
      <name val="새굴림"/>
      <family val="1"/>
      <charset val="129"/>
    </font>
    <font>
      <sz val="12"/>
      <color rgb="FF0000FF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double">
        <color indexed="64"/>
      </bottom>
      <diagonal style="thin">
        <color indexed="64"/>
      </diagonal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/>
    <xf numFmtId="0" fontId="2" fillId="0" borderId="0"/>
  </cellStyleXfs>
  <cellXfs count="245">
    <xf numFmtId="0" fontId="0" fillId="0" borderId="0" xfId="0">
      <alignment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6" xfId="1" applyNumberFormat="1" applyFont="1" applyFill="1" applyBorder="1" applyAlignment="1">
      <alignment horizontal="center" vertical="center"/>
    </xf>
    <xf numFmtId="0" fontId="4" fillId="0" borderId="6" xfId="1" applyNumberFormat="1" applyFont="1" applyFill="1" applyBorder="1" applyAlignment="1">
      <alignment horizontal="center" vertical="center" wrapText="1"/>
    </xf>
    <xf numFmtId="0" fontId="4" fillId="4" borderId="6" xfId="1" applyNumberFormat="1" applyFont="1" applyFill="1" applyBorder="1" applyAlignment="1">
      <alignment horizontal="center" vertical="center"/>
    </xf>
    <xf numFmtId="0" fontId="4" fillId="4" borderId="6" xfId="1" applyNumberFormat="1" applyFont="1" applyFill="1" applyBorder="1" applyAlignment="1">
      <alignment horizontal="center" vertical="center" wrapText="1"/>
    </xf>
    <xf numFmtId="0" fontId="4" fillId="0" borderId="7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4" fillId="0" borderId="10" xfId="1" applyNumberFormat="1" applyFont="1" applyFill="1" applyBorder="1" applyAlignment="1">
      <alignment horizontal="center" vertical="center" wrapText="1"/>
    </xf>
    <xf numFmtId="0" fontId="4" fillId="0" borderId="10" xfId="1" applyNumberFormat="1" applyFont="1" applyFill="1" applyBorder="1" applyAlignment="1">
      <alignment horizontal="center" vertical="center"/>
    </xf>
    <xf numFmtId="0" fontId="4" fillId="4" borderId="10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14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 wrapText="1"/>
    </xf>
    <xf numFmtId="0" fontId="4" fillId="4" borderId="15" xfId="1" applyNumberFormat="1" applyFont="1" applyFill="1" applyBorder="1" applyAlignment="1">
      <alignment horizontal="center" vertical="center" wrapText="1"/>
    </xf>
    <xf numFmtId="0" fontId="4" fillId="4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7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4" fillId="0" borderId="20" xfId="1" applyNumberFormat="1" applyFont="1" applyFill="1" applyBorder="1" applyAlignment="1">
      <alignment horizontal="center" vertical="center"/>
    </xf>
    <xf numFmtId="0" fontId="4" fillId="0" borderId="21" xfId="1" applyNumberFormat="1" applyFont="1" applyFill="1" applyBorder="1" applyAlignment="1">
      <alignment horizontal="center" vertical="center"/>
    </xf>
    <xf numFmtId="0" fontId="4" fillId="0" borderId="21" xfId="1" applyNumberFormat="1" applyFont="1" applyFill="1" applyBorder="1" applyAlignment="1">
      <alignment horizontal="center" vertical="center" wrapText="1"/>
    </xf>
    <xf numFmtId="0" fontId="4" fillId="4" borderId="21" xfId="1" applyNumberFormat="1" applyFont="1" applyFill="1" applyBorder="1" applyAlignment="1">
      <alignment horizontal="center" vertical="center"/>
    </xf>
    <xf numFmtId="0" fontId="4" fillId="0" borderId="22" xfId="1" applyNumberFormat="1" applyFont="1" applyFill="1" applyBorder="1" applyAlignment="1">
      <alignment horizontal="center" vertical="center"/>
    </xf>
    <xf numFmtId="0" fontId="4" fillId="0" borderId="24" xfId="1" applyNumberFormat="1" applyFont="1" applyFill="1" applyBorder="1" applyAlignment="1">
      <alignment horizontal="center" vertical="center" wrapText="1"/>
    </xf>
    <xf numFmtId="0" fontId="4" fillId="2" borderId="25" xfId="1" applyNumberFormat="1" applyFont="1" applyFill="1" applyBorder="1" applyAlignment="1">
      <alignment horizontal="center" vertical="center" wrapText="1"/>
    </xf>
    <xf numFmtId="0" fontId="4" fillId="0" borderId="26" xfId="1" applyNumberFormat="1" applyFont="1" applyFill="1" applyBorder="1" applyAlignment="1">
      <alignment horizontal="center" vertical="center" wrapText="1"/>
    </xf>
    <xf numFmtId="0" fontId="4" fillId="2" borderId="27" xfId="1" applyNumberFormat="1" applyFont="1" applyFill="1" applyBorder="1" applyAlignment="1">
      <alignment horizontal="center" vertical="center" wrapText="1"/>
    </xf>
    <xf numFmtId="0" fontId="4" fillId="2" borderId="28" xfId="1" applyNumberFormat="1" applyFont="1" applyFill="1" applyBorder="1" applyAlignment="1">
      <alignment horizontal="center" vertical="center" wrapText="1"/>
    </xf>
    <xf numFmtId="0" fontId="4" fillId="3" borderId="29" xfId="1" applyNumberFormat="1" applyFont="1" applyFill="1" applyBorder="1" applyAlignment="1">
      <alignment horizontal="center" vertical="center" wrapText="1"/>
    </xf>
    <xf numFmtId="0" fontId="4" fillId="2" borderId="30" xfId="1" applyNumberFormat="1" applyFont="1" applyFill="1" applyBorder="1" applyAlignment="1">
      <alignment horizontal="center" vertical="center" wrapText="1"/>
    </xf>
    <xf numFmtId="0" fontId="4" fillId="0" borderId="19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4" fillId="0" borderId="32" xfId="1" applyNumberFormat="1" applyFont="1" applyFill="1" applyBorder="1" applyAlignment="1">
      <alignment horizontal="center" vertical="center"/>
    </xf>
    <xf numFmtId="0" fontId="4" fillId="3" borderId="33" xfId="1" applyNumberFormat="1" applyFont="1" applyFill="1" applyBorder="1" applyAlignment="1">
      <alignment horizontal="center" vertical="center" wrapText="1"/>
    </xf>
    <xf numFmtId="0" fontId="4" fillId="0" borderId="19" xfId="1" applyNumberFormat="1" applyFont="1" applyFill="1" applyBorder="1" applyAlignment="1">
      <alignment horizontal="center" vertical="center" wrapText="1"/>
    </xf>
    <xf numFmtId="0" fontId="4" fillId="0" borderId="13" xfId="1" applyNumberFormat="1" applyFont="1" applyFill="1" applyBorder="1" applyAlignment="1">
      <alignment horizontal="center" vertical="center" wrapText="1"/>
    </xf>
    <xf numFmtId="0" fontId="4" fillId="0" borderId="18" xfId="1" applyNumberFormat="1" applyFont="1" applyFill="1" applyBorder="1" applyAlignment="1">
      <alignment horizontal="center" vertical="center" wrapText="1"/>
    </xf>
    <xf numFmtId="0" fontId="4" fillId="0" borderId="34" xfId="1" applyNumberFormat="1" applyFont="1" applyFill="1" applyBorder="1" applyAlignment="1">
      <alignment horizontal="center" vertical="center" wrapText="1"/>
    </xf>
    <xf numFmtId="41" fontId="9" fillId="0" borderId="0" xfId="1" applyFont="1" applyFill="1"/>
    <xf numFmtId="41" fontId="8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1" fontId="10" fillId="0" borderId="0" xfId="1" applyFont="1" applyFill="1" applyBorder="1" applyAlignment="1">
      <alignment vertical="center"/>
    </xf>
    <xf numFmtId="49" fontId="11" fillId="0" borderId="0" xfId="1" applyNumberFormat="1" applyFont="1" applyFill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49" fontId="5" fillId="0" borderId="0" xfId="1" applyNumberFormat="1" applyFont="1" applyFill="1" applyBorder="1" applyAlignment="1">
      <alignment horizontal="center" vertical="top" wrapText="1"/>
    </xf>
    <xf numFmtId="49" fontId="11" fillId="0" borderId="0" xfId="1" applyNumberFormat="1" applyFont="1" applyFill="1" applyAlignment="1">
      <alignment vertical="top"/>
    </xf>
    <xf numFmtId="41" fontId="11" fillId="0" borderId="0" xfId="1" applyFont="1" applyFill="1" applyBorder="1" applyAlignment="1">
      <alignment vertical="center"/>
    </xf>
    <xf numFmtId="176" fontId="4" fillId="2" borderId="36" xfId="1" applyNumberFormat="1" applyFont="1" applyFill="1" applyBorder="1" applyAlignment="1">
      <alignment horizontal="center" vertical="center"/>
    </xf>
    <xf numFmtId="0" fontId="4" fillId="2" borderId="37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41" fontId="13" fillId="0" borderId="0" xfId="1" applyFont="1" applyFill="1" applyBorder="1" applyAlignment="1">
      <alignment vertical="center"/>
    </xf>
    <xf numFmtId="176" fontId="4" fillId="3" borderId="38" xfId="1" applyNumberFormat="1" applyFont="1" applyFill="1" applyBorder="1" applyAlignment="1">
      <alignment horizontal="center" vertical="center"/>
    </xf>
    <xf numFmtId="41" fontId="4" fillId="0" borderId="39" xfId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41" fontId="4" fillId="0" borderId="40" xfId="1" applyFont="1" applyFill="1" applyBorder="1" applyAlignment="1">
      <alignment horizontal="center" vertical="center"/>
    </xf>
    <xf numFmtId="41" fontId="4" fillId="0" borderId="41" xfId="1" applyFont="1" applyFill="1" applyBorder="1" applyAlignment="1">
      <alignment horizontal="center" vertical="center"/>
    </xf>
    <xf numFmtId="41" fontId="4" fillId="0" borderId="42" xfId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4" fillId="2" borderId="57" xfId="1" applyNumberFormat="1" applyFont="1" applyFill="1" applyBorder="1" applyAlignment="1">
      <alignment horizontal="center" vertical="center" wrapText="1"/>
    </xf>
    <xf numFmtId="0" fontId="4" fillId="3" borderId="58" xfId="1" applyNumberFormat="1" applyFont="1" applyFill="1" applyBorder="1" applyAlignment="1">
      <alignment horizontal="center" vertical="center" wrapText="1"/>
    </xf>
    <xf numFmtId="0" fontId="4" fillId="0" borderId="59" xfId="1" applyNumberFormat="1" applyFont="1" applyFill="1" applyBorder="1" applyAlignment="1">
      <alignment horizontal="center" vertical="center"/>
    </xf>
    <xf numFmtId="0" fontId="4" fillId="0" borderId="24" xfId="1" applyNumberFormat="1" applyFont="1" applyFill="1" applyBorder="1" applyAlignment="1">
      <alignment horizontal="center" vertical="center"/>
    </xf>
    <xf numFmtId="0" fontId="4" fillId="3" borderId="60" xfId="1" applyNumberFormat="1" applyFont="1" applyFill="1" applyBorder="1" applyAlignment="1">
      <alignment horizontal="center" vertical="center" wrapText="1"/>
    </xf>
    <xf numFmtId="0" fontId="4" fillId="0" borderId="59" xfId="1" applyNumberFormat="1" applyFont="1" applyFill="1" applyBorder="1" applyAlignment="1">
      <alignment horizontal="center" vertical="center" wrapText="1"/>
    </xf>
    <xf numFmtId="0" fontId="4" fillId="0" borderId="56" xfId="1" applyNumberFormat="1" applyFont="1" applyFill="1" applyBorder="1" applyAlignment="1">
      <alignment horizontal="center" vertical="center" wrapText="1"/>
    </xf>
    <xf numFmtId="0" fontId="4" fillId="2" borderId="65" xfId="1" applyNumberFormat="1" applyFont="1" applyFill="1" applyBorder="1" applyAlignment="1">
      <alignment horizontal="center" vertical="center" wrapText="1"/>
    </xf>
    <xf numFmtId="0" fontId="4" fillId="3" borderId="66" xfId="1" applyNumberFormat="1" applyFont="1" applyFill="1" applyBorder="1" applyAlignment="1">
      <alignment horizontal="center" vertical="center" wrapText="1"/>
    </xf>
    <xf numFmtId="0" fontId="4" fillId="0" borderId="67" xfId="1" applyNumberFormat="1" applyFont="1" applyFill="1" applyBorder="1" applyAlignment="1">
      <alignment horizontal="center" vertical="center" wrapText="1"/>
    </xf>
    <xf numFmtId="0" fontId="4" fillId="0" borderId="63" xfId="1" applyNumberFormat="1" applyFont="1" applyFill="1" applyBorder="1" applyAlignment="1">
      <alignment horizontal="center" vertical="center"/>
    </xf>
    <xf numFmtId="0" fontId="4" fillId="0" borderId="64" xfId="1" applyNumberFormat="1" applyFont="1" applyFill="1" applyBorder="1" applyAlignment="1">
      <alignment horizontal="center" vertical="center"/>
    </xf>
    <xf numFmtId="0" fontId="4" fillId="0" borderId="63" xfId="1" applyNumberFormat="1" applyFont="1" applyFill="1" applyBorder="1" applyAlignment="1">
      <alignment horizontal="center" vertical="center" wrapText="1"/>
    </xf>
    <xf numFmtId="0" fontId="4" fillId="0" borderId="68" xfId="1" applyNumberFormat="1" applyFont="1" applyFill="1" applyBorder="1" applyAlignment="1">
      <alignment horizontal="center" vertical="center" wrapText="1"/>
    </xf>
    <xf numFmtId="0" fontId="4" fillId="0" borderId="17" xfId="1" applyNumberFormat="1" applyFont="1" applyFill="1" applyBorder="1" applyAlignment="1">
      <alignment horizontal="center" vertical="center" wrapText="1"/>
    </xf>
    <xf numFmtId="0" fontId="4" fillId="0" borderId="67" xfId="1" applyNumberFormat="1" applyFont="1" applyFill="1" applyBorder="1" applyAlignment="1">
      <alignment horizontal="center" vertical="center"/>
    </xf>
    <xf numFmtId="0" fontId="4" fillId="0" borderId="68" xfId="1" applyNumberFormat="1" applyFont="1" applyFill="1" applyBorder="1" applyAlignment="1">
      <alignment horizontal="center" vertical="center"/>
    </xf>
    <xf numFmtId="0" fontId="4" fillId="0" borderId="56" xfId="1" applyNumberFormat="1" applyFont="1" applyFill="1" applyBorder="1" applyAlignment="1">
      <alignment horizontal="center" vertical="center"/>
    </xf>
    <xf numFmtId="0" fontId="4" fillId="2" borderId="69" xfId="1" applyNumberFormat="1" applyFont="1" applyFill="1" applyBorder="1" applyAlignment="1">
      <alignment horizontal="center" vertical="center" wrapText="1"/>
    </xf>
    <xf numFmtId="0" fontId="4" fillId="0" borderId="43" xfId="1" applyNumberFormat="1" applyFont="1" applyFill="1" applyBorder="1" applyAlignment="1">
      <alignment horizontal="center" vertical="center"/>
    </xf>
    <xf numFmtId="0" fontId="4" fillId="0" borderId="23" xfId="1" applyNumberFormat="1" applyFont="1" applyFill="1" applyBorder="1" applyAlignment="1">
      <alignment horizontal="center" vertical="center"/>
    </xf>
    <xf numFmtId="0" fontId="4" fillId="2" borderId="73" xfId="1" applyNumberFormat="1" applyFont="1" applyFill="1" applyBorder="1" applyAlignment="1">
      <alignment horizontal="center" vertical="center" wrapText="1"/>
    </xf>
    <xf numFmtId="0" fontId="4" fillId="3" borderId="74" xfId="1" applyNumberFormat="1" applyFont="1" applyFill="1" applyBorder="1" applyAlignment="1">
      <alignment horizontal="center" vertical="center" wrapText="1"/>
    </xf>
    <xf numFmtId="0" fontId="4" fillId="0" borderId="75" xfId="1" applyNumberFormat="1" applyFont="1" applyFill="1" applyBorder="1" applyAlignment="1">
      <alignment horizontal="center" vertical="center" wrapText="1"/>
    </xf>
    <xf numFmtId="0" fontId="4" fillId="0" borderId="71" xfId="1" applyNumberFormat="1" applyFont="1" applyFill="1" applyBorder="1" applyAlignment="1">
      <alignment horizontal="center" vertical="center"/>
    </xf>
    <xf numFmtId="0" fontId="4" fillId="0" borderId="72" xfId="1" applyNumberFormat="1" applyFont="1" applyFill="1" applyBorder="1" applyAlignment="1">
      <alignment horizontal="center" vertical="center"/>
    </xf>
    <xf numFmtId="0" fontId="4" fillId="0" borderId="75" xfId="1" applyNumberFormat="1" applyFont="1" applyFill="1" applyBorder="1" applyAlignment="1">
      <alignment horizontal="center" vertical="center"/>
    </xf>
    <xf numFmtId="0" fontId="4" fillId="0" borderId="76" xfId="1" applyNumberFormat="1" applyFont="1" applyFill="1" applyBorder="1" applyAlignment="1">
      <alignment horizontal="center" vertical="center"/>
    </xf>
    <xf numFmtId="49" fontId="4" fillId="0" borderId="77" xfId="1" applyNumberFormat="1" applyFont="1" applyFill="1" applyBorder="1" applyAlignment="1">
      <alignment horizontal="center" vertical="center"/>
    </xf>
    <xf numFmtId="0" fontId="4" fillId="2" borderId="79" xfId="1" applyNumberFormat="1" applyFont="1" applyFill="1" applyBorder="1" applyAlignment="1">
      <alignment horizontal="center" vertical="center" wrapText="1"/>
    </xf>
    <xf numFmtId="0" fontId="4" fillId="0" borderId="81" xfId="1" applyNumberFormat="1" applyFont="1" applyFill="1" applyBorder="1" applyAlignment="1">
      <alignment horizontal="center" vertical="center"/>
    </xf>
    <xf numFmtId="0" fontId="4" fillId="0" borderId="77" xfId="1" applyNumberFormat="1" applyFont="1" applyFill="1" applyBorder="1" applyAlignment="1">
      <alignment horizontal="center" vertical="center"/>
    </xf>
    <xf numFmtId="0" fontId="4" fillId="0" borderId="78" xfId="1" applyNumberFormat="1" applyFont="1" applyFill="1" applyBorder="1" applyAlignment="1">
      <alignment horizontal="center" vertical="center"/>
    </xf>
    <xf numFmtId="0" fontId="4" fillId="0" borderId="82" xfId="1" applyNumberFormat="1" applyFont="1" applyFill="1" applyBorder="1" applyAlignment="1">
      <alignment horizontal="center" vertical="center"/>
    </xf>
    <xf numFmtId="0" fontId="4" fillId="0" borderId="64" xfId="1" applyNumberFormat="1" applyFont="1" applyFill="1" applyBorder="1" applyAlignment="1">
      <alignment horizontal="center" vertical="center" wrapText="1"/>
    </xf>
    <xf numFmtId="0" fontId="4" fillId="0" borderId="53" xfId="1" applyNumberFormat="1" applyFont="1" applyFill="1" applyBorder="1" applyAlignment="1">
      <alignment horizontal="center" vertical="center" wrapText="1"/>
    </xf>
    <xf numFmtId="0" fontId="6" fillId="0" borderId="71" xfId="0" applyFont="1" applyFill="1" applyBorder="1">
      <alignment vertical="center"/>
    </xf>
    <xf numFmtId="0" fontId="4" fillId="4" borderId="10" xfId="1" applyNumberFormat="1" applyFont="1" applyFill="1" applyBorder="1" applyAlignment="1">
      <alignment horizontal="center" vertical="center" wrapText="1"/>
    </xf>
    <xf numFmtId="0" fontId="4" fillId="0" borderId="89" xfId="1" applyNumberFormat="1" applyFont="1" applyFill="1" applyBorder="1" applyAlignment="1">
      <alignment horizontal="center" vertical="center" wrapText="1"/>
    </xf>
    <xf numFmtId="0" fontId="6" fillId="0" borderId="12" xfId="0" applyFont="1" applyFill="1" applyBorder="1">
      <alignment vertical="center"/>
    </xf>
    <xf numFmtId="0" fontId="4" fillId="0" borderId="91" xfId="1" applyNumberFormat="1" applyFont="1" applyFill="1" applyBorder="1" applyAlignment="1">
      <alignment horizontal="center" vertical="center"/>
    </xf>
    <xf numFmtId="0" fontId="6" fillId="0" borderId="77" xfId="0" applyFont="1" applyFill="1" applyBorder="1">
      <alignment vertical="center"/>
    </xf>
    <xf numFmtId="0" fontId="4" fillId="2" borderId="92" xfId="1" applyNumberFormat="1" applyFont="1" applyFill="1" applyBorder="1" applyAlignment="1">
      <alignment horizontal="center" vertical="center" wrapText="1"/>
    </xf>
    <xf numFmtId="0" fontId="4" fillId="3" borderId="93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vertical="center"/>
    </xf>
    <xf numFmtId="41" fontId="8" fillId="0" borderId="0" xfId="1" applyFont="1" applyFill="1" applyBorder="1" applyAlignment="1">
      <alignment horizontal="center"/>
    </xf>
    <xf numFmtId="41" fontId="9" fillId="0" borderId="0" xfId="1" applyFont="1" applyFill="1" applyBorder="1"/>
    <xf numFmtId="41" fontId="4" fillId="0" borderId="83" xfId="1" applyFont="1" applyFill="1" applyBorder="1" applyAlignment="1">
      <alignment horizontal="center" vertical="center"/>
    </xf>
    <xf numFmtId="0" fontId="4" fillId="2" borderId="31" xfId="1" applyNumberFormat="1" applyFont="1" applyFill="1" applyBorder="1" applyAlignment="1">
      <alignment horizontal="center" vertical="center" wrapText="1"/>
    </xf>
    <xf numFmtId="0" fontId="4" fillId="0" borderId="84" xfId="1" applyNumberFormat="1" applyFont="1" applyFill="1" applyBorder="1" applyAlignment="1">
      <alignment horizontal="center" vertical="center" wrapText="1"/>
    </xf>
    <xf numFmtId="0" fontId="6" fillId="0" borderId="85" xfId="0" applyFont="1" applyFill="1" applyBorder="1">
      <alignment vertical="center"/>
    </xf>
    <xf numFmtId="0" fontId="6" fillId="0" borderId="61" xfId="0" applyFont="1" applyFill="1" applyBorder="1">
      <alignment vertical="center"/>
    </xf>
    <xf numFmtId="0" fontId="6" fillId="0" borderId="90" xfId="0" applyFont="1" applyFill="1" applyBorder="1">
      <alignment vertical="center"/>
    </xf>
    <xf numFmtId="0" fontId="4" fillId="0" borderId="70" xfId="1" applyNumberFormat="1" applyFont="1" applyFill="1" applyBorder="1" applyAlignment="1">
      <alignment horizontal="center" vertical="center" wrapText="1"/>
    </xf>
    <xf numFmtId="0" fontId="4" fillId="0" borderId="86" xfId="1" applyNumberFormat="1" applyFont="1" applyFill="1" applyBorder="1" applyAlignment="1">
      <alignment horizontal="center" vertical="center" wrapText="1"/>
    </xf>
    <xf numFmtId="0" fontId="4" fillId="0" borderId="87" xfId="1" applyNumberFormat="1" applyFont="1" applyFill="1" applyBorder="1" applyAlignment="1">
      <alignment horizontal="center" vertical="center" wrapText="1"/>
    </xf>
    <xf numFmtId="0" fontId="4" fillId="0" borderId="88" xfId="1" applyNumberFormat="1" applyFont="1" applyFill="1" applyBorder="1" applyAlignment="1">
      <alignment horizontal="center" vertical="center" wrapText="1"/>
    </xf>
    <xf numFmtId="0" fontId="4" fillId="4" borderId="88" xfId="1" applyNumberFormat="1" applyFont="1" applyFill="1" applyBorder="1" applyAlignment="1">
      <alignment horizontal="center" vertical="center" wrapText="1"/>
    </xf>
    <xf numFmtId="0" fontId="19" fillId="0" borderId="10" xfId="1" applyNumberFormat="1" applyFont="1" applyFill="1" applyBorder="1" applyAlignment="1">
      <alignment horizontal="center" vertical="center" wrapText="1"/>
    </xf>
    <xf numFmtId="0" fontId="19" fillId="4" borderId="10" xfId="1" applyNumberFormat="1" applyFont="1" applyFill="1" applyBorder="1" applyAlignment="1">
      <alignment horizontal="center" vertical="center" wrapText="1"/>
    </xf>
    <xf numFmtId="0" fontId="19" fillId="4" borderId="15" xfId="1" applyNumberFormat="1" applyFont="1" applyFill="1" applyBorder="1" applyAlignment="1">
      <alignment horizontal="center" vertical="center"/>
    </xf>
    <xf numFmtId="0" fontId="19" fillId="4" borderId="6" xfId="1" applyNumberFormat="1" applyFont="1" applyFill="1" applyBorder="1" applyAlignment="1">
      <alignment horizontal="center" vertical="center" wrapText="1"/>
    </xf>
    <xf numFmtId="0" fontId="19" fillId="4" borderId="10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1" fontId="20" fillId="0" borderId="0" xfId="1" applyFont="1" applyFill="1" applyBorder="1" applyAlignment="1">
      <alignment horizontal="left" vertical="center"/>
    </xf>
    <xf numFmtId="0" fontId="19" fillId="4" borderId="6" xfId="1" applyNumberFormat="1" applyFont="1" applyFill="1" applyBorder="1" applyAlignment="1">
      <alignment horizontal="center" vertical="center"/>
    </xf>
    <xf numFmtId="0" fontId="19" fillId="0" borderId="10" xfId="1" applyNumberFormat="1" applyFont="1" applyFill="1" applyBorder="1" applyAlignment="1">
      <alignment horizontal="center" vertical="center"/>
    </xf>
    <xf numFmtId="0" fontId="4" fillId="3" borderId="29" xfId="1" applyNumberFormat="1" applyFont="1" applyFill="1" applyBorder="1" applyAlignment="1">
      <alignment horizontal="center" vertical="center"/>
    </xf>
    <xf numFmtId="0" fontId="4" fillId="3" borderId="74" xfId="1" applyNumberFormat="1" applyFont="1" applyFill="1" applyBorder="1" applyAlignment="1">
      <alignment horizontal="center" vertical="center"/>
    </xf>
    <xf numFmtId="0" fontId="4" fillId="3" borderId="80" xfId="1" applyNumberFormat="1" applyFont="1" applyFill="1" applyBorder="1" applyAlignment="1">
      <alignment horizontal="center" vertical="center"/>
    </xf>
    <xf numFmtId="0" fontId="4" fillId="3" borderId="66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58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33" xfId="1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3" borderId="60" xfId="1" applyNumberFormat="1" applyFont="1" applyFill="1" applyBorder="1" applyAlignment="1">
      <alignment horizontal="center" vertical="center"/>
    </xf>
    <xf numFmtId="0" fontId="4" fillId="0" borderId="18" xfId="1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 vertical="center"/>
    </xf>
    <xf numFmtId="0" fontId="4" fillId="0" borderId="53" xfId="1" applyNumberFormat="1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vertical="center"/>
    </xf>
    <xf numFmtId="0" fontId="6" fillId="0" borderId="77" xfId="0" applyFont="1" applyFill="1" applyBorder="1" applyAlignment="1">
      <alignment vertical="center"/>
    </xf>
    <xf numFmtId="0" fontId="4" fillId="0" borderId="84" xfId="1" applyNumberFormat="1" applyFont="1" applyFill="1" applyBorder="1" applyAlignment="1">
      <alignment horizontal="center" vertical="center"/>
    </xf>
    <xf numFmtId="0" fontId="6" fillId="0" borderId="85" xfId="0" applyFont="1" applyFill="1" applyBorder="1" applyAlignment="1">
      <alignment vertical="center"/>
    </xf>
    <xf numFmtId="0" fontId="6" fillId="0" borderId="61" xfId="0" applyFont="1" applyFill="1" applyBorder="1" applyAlignment="1">
      <alignment vertical="center"/>
    </xf>
    <xf numFmtId="0" fontId="4" fillId="0" borderId="87" xfId="1" applyNumberFormat="1" applyFont="1" applyFill="1" applyBorder="1" applyAlignment="1">
      <alignment horizontal="center" vertical="center"/>
    </xf>
    <xf numFmtId="0" fontId="4" fillId="0" borderId="88" xfId="1" applyNumberFormat="1" applyFont="1" applyFill="1" applyBorder="1" applyAlignment="1">
      <alignment horizontal="center" vertical="center"/>
    </xf>
    <xf numFmtId="0" fontId="4" fillId="0" borderId="86" xfId="1" applyNumberFormat="1" applyFont="1" applyFill="1" applyBorder="1" applyAlignment="1">
      <alignment horizontal="center" vertical="center"/>
    </xf>
    <xf numFmtId="0" fontId="4" fillId="4" borderId="88" xfId="1" applyNumberFormat="1" applyFont="1" applyFill="1" applyBorder="1" applyAlignment="1">
      <alignment horizontal="center" vertical="center"/>
    </xf>
    <xf numFmtId="0" fontId="4" fillId="0" borderId="70" xfId="1" applyNumberFormat="1" applyFont="1" applyFill="1" applyBorder="1" applyAlignment="1">
      <alignment horizontal="center" vertical="center"/>
    </xf>
    <xf numFmtId="0" fontId="4" fillId="0" borderId="89" xfId="1" applyNumberFormat="1" applyFont="1" applyFill="1" applyBorder="1" applyAlignment="1">
      <alignment horizontal="center" vertical="center"/>
    </xf>
    <xf numFmtId="0" fontId="21" fillId="4" borderId="6" xfId="1" applyNumberFormat="1" applyFont="1" applyFill="1" applyBorder="1" applyAlignment="1">
      <alignment horizontal="center" vertical="center"/>
    </xf>
    <xf numFmtId="0" fontId="21" fillId="0" borderId="10" xfId="1" applyNumberFormat="1" applyFont="1" applyFill="1" applyBorder="1" applyAlignment="1">
      <alignment horizontal="center" vertical="center"/>
    </xf>
    <xf numFmtId="0" fontId="21" fillId="4" borderId="10" xfId="1" applyNumberFormat="1" applyFont="1" applyFill="1" applyBorder="1" applyAlignment="1">
      <alignment horizontal="center" vertical="center"/>
    </xf>
    <xf numFmtId="0" fontId="21" fillId="4" borderId="2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21" fillId="0" borderId="9" xfId="1" applyNumberFormat="1" applyFont="1" applyFill="1" applyBorder="1" applyAlignment="1">
      <alignment horizontal="center" vertical="center"/>
    </xf>
    <xf numFmtId="0" fontId="21" fillId="2" borderId="2" xfId="1" applyNumberFormat="1" applyFont="1" applyFill="1" applyBorder="1" applyAlignment="1">
      <alignment horizontal="center" vertical="center" wrapText="1"/>
    </xf>
    <xf numFmtId="0" fontId="19" fillId="2" borderId="2" xfId="1" applyNumberFormat="1" applyFont="1" applyFill="1" applyBorder="1" applyAlignment="1">
      <alignment horizontal="center" vertical="center" wrapText="1"/>
    </xf>
    <xf numFmtId="0" fontId="21" fillId="0" borderId="24" xfId="1" applyNumberFormat="1" applyFont="1" applyFill="1" applyBorder="1" applyAlignment="1">
      <alignment horizontal="center" vertical="center"/>
    </xf>
    <xf numFmtId="0" fontId="21" fillId="0" borderId="63" xfId="1" applyNumberFormat="1" applyFont="1" applyFill="1" applyBorder="1" applyAlignment="1">
      <alignment horizontal="center" vertical="center"/>
    </xf>
    <xf numFmtId="0" fontId="21" fillId="0" borderId="11" xfId="1" applyNumberFormat="1" applyFont="1" applyFill="1" applyBorder="1" applyAlignment="1">
      <alignment horizontal="center" vertical="center"/>
    </xf>
    <xf numFmtId="0" fontId="19" fillId="2" borderId="1" xfId="1" applyNumberFormat="1" applyFont="1" applyFill="1" applyBorder="1" applyAlignment="1">
      <alignment horizontal="center" vertical="center" wrapText="1"/>
    </xf>
    <xf numFmtId="0" fontId="19" fillId="3" borderId="3" xfId="1" applyNumberFormat="1" applyFont="1" applyFill="1" applyBorder="1" applyAlignment="1">
      <alignment horizontal="center" vertical="center"/>
    </xf>
    <xf numFmtId="0" fontId="19" fillId="0" borderId="9" xfId="1" applyNumberFormat="1" applyFont="1" applyFill="1" applyBorder="1" applyAlignment="1">
      <alignment horizontal="center" vertical="center"/>
    </xf>
    <xf numFmtId="0" fontId="21" fillId="3" borderId="3" xfId="1" applyNumberFormat="1" applyFont="1" applyFill="1" applyBorder="1" applyAlignment="1">
      <alignment horizontal="center" vertical="center"/>
    </xf>
    <xf numFmtId="41" fontId="22" fillId="0" borderId="0" xfId="1" applyFont="1" applyFill="1" applyBorder="1" applyAlignment="1">
      <alignment horizontal="left" vertical="center"/>
    </xf>
    <xf numFmtId="0" fontId="19" fillId="0" borderId="6" xfId="1" applyNumberFormat="1" applyFont="1" applyFill="1" applyBorder="1" applyAlignment="1">
      <alignment horizontal="center" vertical="center"/>
    </xf>
    <xf numFmtId="0" fontId="19" fillId="4" borderId="21" xfId="1" applyNumberFormat="1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49" fontId="5" fillId="0" borderId="13" xfId="1" applyNumberFormat="1" applyFont="1" applyFill="1" applyBorder="1" applyAlignment="1">
      <alignment horizontal="center" vertical="top" wrapText="1"/>
    </xf>
    <xf numFmtId="49" fontId="5" fillId="0" borderId="55" xfId="1" applyNumberFormat="1" applyFont="1" applyFill="1" applyBorder="1" applyAlignment="1">
      <alignment horizontal="center" vertical="top" wrapText="1"/>
    </xf>
    <xf numFmtId="49" fontId="5" fillId="0" borderId="21" xfId="1" applyNumberFormat="1" applyFont="1" applyFill="1" applyBorder="1" applyAlignment="1">
      <alignment horizontal="center" vertical="top" wrapText="1"/>
    </xf>
    <xf numFmtId="49" fontId="5" fillId="0" borderId="2" xfId="1" applyNumberFormat="1" applyFont="1" applyFill="1" applyBorder="1" applyAlignment="1">
      <alignment horizontal="center" vertical="top" wrapText="1"/>
    </xf>
    <xf numFmtId="49" fontId="5" fillId="0" borderId="24" xfId="1" applyNumberFormat="1" applyFont="1" applyFill="1" applyBorder="1" applyAlignment="1">
      <alignment horizontal="center" vertical="top" wrapText="1"/>
    </xf>
    <xf numFmtId="49" fontId="5" fillId="0" borderId="17" xfId="1" applyNumberFormat="1" applyFont="1" applyFill="1" applyBorder="1" applyAlignment="1">
      <alignment horizontal="center" vertical="top" wrapText="1"/>
    </xf>
    <xf numFmtId="49" fontId="5" fillId="0" borderId="21" xfId="1" applyNumberFormat="1" applyFont="1" applyFill="1" applyBorder="1" applyAlignment="1">
      <alignment horizontal="center" vertical="top" textRotation="255" wrapText="1"/>
    </xf>
    <xf numFmtId="49" fontId="5" fillId="0" borderId="2" xfId="1" applyNumberFormat="1" applyFont="1" applyFill="1" applyBorder="1" applyAlignment="1">
      <alignment horizontal="center" vertical="top" textRotation="255" wrapText="1"/>
    </xf>
    <xf numFmtId="49" fontId="5" fillId="0" borderId="56" xfId="1" applyNumberFormat="1" applyFont="1" applyFill="1" applyBorder="1" applyAlignment="1">
      <alignment horizontal="center" vertical="top" textRotation="255" wrapText="1"/>
    </xf>
    <xf numFmtId="49" fontId="5" fillId="0" borderId="57" xfId="1" applyNumberFormat="1" applyFont="1" applyFill="1" applyBorder="1" applyAlignment="1">
      <alignment horizontal="center" vertical="top" textRotation="255" wrapText="1"/>
    </xf>
    <xf numFmtId="49" fontId="5" fillId="0" borderId="68" xfId="1" applyNumberFormat="1" applyFont="1" applyFill="1" applyBorder="1" applyAlignment="1">
      <alignment horizontal="left" vertical="top" wrapText="1"/>
    </xf>
    <xf numFmtId="0" fontId="14" fillId="0" borderId="65" xfId="0" applyFont="1" applyFill="1" applyBorder="1" applyAlignment="1">
      <alignment horizontal="left" vertical="top"/>
    </xf>
    <xf numFmtId="49" fontId="5" fillId="0" borderId="9" xfId="1" applyNumberFormat="1" applyFont="1" applyFill="1" applyBorder="1" applyAlignment="1">
      <alignment horizontal="center" vertical="top" wrapText="1"/>
    </xf>
    <xf numFmtId="49" fontId="5" fillId="0" borderId="14" xfId="1" applyNumberFormat="1" applyFont="1" applyFill="1" applyBorder="1" applyAlignment="1">
      <alignment horizontal="center" vertical="top" wrapText="1"/>
    </xf>
    <xf numFmtId="49" fontId="5" fillId="0" borderId="10" xfId="1" applyNumberFormat="1" applyFont="1" applyFill="1" applyBorder="1" applyAlignment="1">
      <alignment horizontal="center" vertical="top" textRotation="255" wrapText="1"/>
    </xf>
    <xf numFmtId="0" fontId="14" fillId="0" borderId="15" xfId="0" applyFont="1" applyFill="1" applyBorder="1" applyAlignment="1">
      <alignment horizontal="center" vertical="top" textRotation="255"/>
    </xf>
    <xf numFmtId="41" fontId="4" fillId="0" borderId="62" xfId="1" applyFont="1" applyFill="1" applyBorder="1" applyAlignment="1">
      <alignment horizontal="center" vertical="center"/>
    </xf>
    <xf numFmtId="41" fontId="4" fillId="0" borderId="44" xfId="1" applyFont="1" applyFill="1" applyBorder="1" applyAlignment="1">
      <alignment horizontal="center" vertical="center"/>
    </xf>
    <xf numFmtId="41" fontId="4" fillId="0" borderId="12" xfId="1" applyFont="1" applyFill="1" applyBorder="1" applyAlignment="1">
      <alignment horizontal="center" vertical="center"/>
    </xf>
    <xf numFmtId="49" fontId="5" fillId="0" borderId="56" xfId="1" applyNumberFormat="1" applyFont="1" applyFill="1" applyBorder="1" applyAlignment="1">
      <alignment horizontal="center" vertical="top" wrapText="1"/>
    </xf>
    <xf numFmtId="49" fontId="5" fillId="0" borderId="57" xfId="1" applyNumberFormat="1" applyFont="1" applyFill="1" applyBorder="1" applyAlignment="1">
      <alignment horizontal="center" vertical="top" wrapText="1"/>
    </xf>
    <xf numFmtId="49" fontId="4" fillId="0" borderId="63" xfId="1" applyNumberFormat="1" applyFont="1" applyFill="1" applyBorder="1" applyAlignment="1">
      <alignment horizontal="center"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4" fillId="0" borderId="24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5" fillId="4" borderId="21" xfId="1" applyNumberFormat="1" applyFont="1" applyFill="1" applyBorder="1" applyAlignment="1">
      <alignment horizontal="center" vertical="top" textRotation="255" wrapText="1"/>
    </xf>
    <xf numFmtId="49" fontId="5" fillId="4" borderId="2" xfId="1" applyNumberFormat="1" applyFont="1" applyFill="1" applyBorder="1" applyAlignment="1">
      <alignment horizontal="center" vertical="top" textRotation="255" wrapText="1"/>
    </xf>
    <xf numFmtId="49" fontId="5" fillId="0" borderId="21" xfId="1" applyNumberFormat="1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/>
    </xf>
    <xf numFmtId="49" fontId="5" fillId="4" borderId="21" xfId="1" applyNumberFormat="1" applyFont="1" applyFill="1" applyBorder="1" applyAlignment="1">
      <alignment horizontal="center" vertical="top" wrapText="1"/>
    </xf>
    <xf numFmtId="49" fontId="5" fillId="4" borderId="2" xfId="1" applyNumberFormat="1" applyFont="1" applyFill="1" applyBorder="1" applyAlignment="1">
      <alignment horizontal="center" vertical="top" wrapText="1"/>
    </xf>
    <xf numFmtId="0" fontId="14" fillId="0" borderId="2" xfId="0" applyFont="1" applyFill="1" applyBorder="1" applyAlignment="1">
      <alignment horizontal="center" vertical="top"/>
    </xf>
    <xf numFmtId="0" fontId="6" fillId="0" borderId="65" xfId="0" applyFont="1" applyFill="1" applyBorder="1">
      <alignment vertical="center"/>
    </xf>
    <xf numFmtId="49" fontId="5" fillId="0" borderId="10" xfId="1" applyNumberFormat="1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top"/>
    </xf>
    <xf numFmtId="41" fontId="15" fillId="0" borderId="0" xfId="1" applyFont="1" applyFill="1" applyBorder="1" applyAlignment="1">
      <alignment horizontal="center" vertical="center"/>
    </xf>
    <xf numFmtId="49" fontId="16" fillId="0" borderId="45" xfId="1" applyNumberFormat="1" applyFont="1" applyFill="1" applyBorder="1" applyAlignment="1">
      <alignment horizontal="left" vertical="top" wrapText="1"/>
    </xf>
    <xf numFmtId="49" fontId="16" fillId="0" borderId="46" xfId="1" applyNumberFormat="1" applyFont="1" applyFill="1" applyBorder="1" applyAlignment="1">
      <alignment horizontal="left" vertical="top"/>
    </xf>
    <xf numFmtId="0" fontId="6" fillId="0" borderId="47" xfId="0" applyFont="1" applyFill="1" applyBorder="1" applyAlignment="1">
      <alignment horizontal="left" vertical="center"/>
    </xf>
    <xf numFmtId="49" fontId="4" fillId="2" borderId="48" xfId="1" applyNumberFormat="1" applyFont="1" applyFill="1" applyBorder="1" applyAlignment="1">
      <alignment horizontal="center" vertical="center" wrapText="1"/>
    </xf>
    <xf numFmtId="49" fontId="4" fillId="2" borderId="25" xfId="1" applyNumberFormat="1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41" fontId="10" fillId="0" borderId="50" xfId="1" applyFont="1" applyFill="1" applyBorder="1" applyAlignment="1">
      <alignment horizontal="center" vertical="center"/>
    </xf>
    <xf numFmtId="41" fontId="10" fillId="0" borderId="35" xfId="1" applyFont="1" applyFill="1" applyBorder="1" applyAlignment="1">
      <alignment horizontal="center" vertical="center"/>
    </xf>
    <xf numFmtId="41" fontId="10" fillId="0" borderId="51" xfId="1" applyFont="1" applyFill="1" applyBorder="1" applyAlignment="1">
      <alignment horizontal="center" vertical="center"/>
    </xf>
    <xf numFmtId="49" fontId="4" fillId="0" borderId="52" xfId="1" applyNumberFormat="1" applyFont="1" applyFill="1" applyBorder="1" applyAlignment="1">
      <alignment horizontal="center" vertical="center" wrapText="1"/>
    </xf>
    <xf numFmtId="49" fontId="4" fillId="0" borderId="53" xfId="1" applyNumberFormat="1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49" fontId="5" fillId="0" borderId="71" xfId="1" applyNumberFormat="1" applyFont="1" applyFill="1" applyBorder="1" applyAlignment="1">
      <alignment horizontal="center" vertical="top" wrapText="1"/>
    </xf>
    <xf numFmtId="49" fontId="5" fillId="0" borderId="71" xfId="1" applyNumberFormat="1" applyFont="1" applyFill="1" applyBorder="1" applyAlignment="1">
      <alignment horizontal="center" vertical="top"/>
    </xf>
    <xf numFmtId="0" fontId="14" fillId="0" borderId="72" xfId="0" applyFont="1" applyFill="1" applyBorder="1" applyAlignment="1">
      <alignment horizontal="center" vertical="top"/>
    </xf>
    <xf numFmtId="49" fontId="4" fillId="0" borderId="62" xfId="1" applyNumberFormat="1" applyFont="1" applyFill="1" applyBorder="1" applyAlignment="1">
      <alignment horizontal="center" vertical="center"/>
    </xf>
    <xf numFmtId="49" fontId="4" fillId="0" borderId="44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9" fontId="5" fillId="0" borderId="12" xfId="1" applyNumberFormat="1" applyFont="1" applyFill="1" applyBorder="1" applyAlignment="1">
      <alignment horizontal="center" vertical="top" wrapText="1"/>
    </xf>
    <xf numFmtId="0" fontId="14" fillId="0" borderId="43" xfId="0" applyFont="1" applyFill="1" applyBorder="1" applyAlignment="1">
      <alignment horizontal="center" vertical="top"/>
    </xf>
    <xf numFmtId="49" fontId="5" fillId="0" borderId="63" xfId="1" applyNumberFormat="1" applyFont="1" applyFill="1" applyBorder="1" applyAlignment="1">
      <alignment horizontal="center" vertical="top" wrapText="1"/>
    </xf>
    <xf numFmtId="0" fontId="14" fillId="0" borderId="64" xfId="0" applyFont="1" applyFill="1" applyBorder="1" applyAlignment="1">
      <alignment horizontal="center" vertical="top"/>
    </xf>
    <xf numFmtId="0" fontId="18" fillId="0" borderId="23" xfId="2" applyFont="1" applyFill="1" applyBorder="1" applyAlignment="1">
      <alignment horizontal="center" vertical="top" textRotation="255" wrapText="1"/>
    </xf>
    <xf numFmtId="0" fontId="18" fillId="0" borderId="69" xfId="2" applyFont="1" applyFill="1" applyBorder="1" applyAlignment="1">
      <alignment horizontal="center" vertical="top" textRotation="255" wrapText="1"/>
    </xf>
    <xf numFmtId="49" fontId="5" fillId="0" borderId="15" xfId="1" applyNumberFormat="1" applyFont="1" applyFill="1" applyBorder="1" applyAlignment="1">
      <alignment horizontal="center" vertical="top" wrapText="1"/>
    </xf>
    <xf numFmtId="49" fontId="5" fillId="0" borderId="77" xfId="1" applyNumberFormat="1" applyFont="1" applyFill="1" applyBorder="1" applyAlignment="1">
      <alignment horizontal="center" vertical="top" wrapText="1"/>
    </xf>
    <xf numFmtId="0" fontId="14" fillId="0" borderId="78" xfId="0" applyFont="1" applyFill="1" applyBorder="1" applyAlignment="1">
      <alignment horizontal="center" vertical="top"/>
    </xf>
    <xf numFmtId="0" fontId="18" fillId="0" borderId="82" xfId="2" applyFont="1" applyFill="1" applyBorder="1" applyAlignment="1">
      <alignment horizontal="center" vertical="top" textRotation="255" wrapText="1"/>
    </xf>
    <xf numFmtId="0" fontId="18" fillId="0" borderId="79" xfId="2" applyFont="1" applyFill="1" applyBorder="1" applyAlignment="1">
      <alignment horizontal="center" vertical="top" textRotation="255" wrapText="1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6"/>
  <sheetViews>
    <sheetView view="pageBreakPreview" zoomScale="85" zoomScaleNormal="85" zoomScaleSheetLayoutView="85" workbookViewId="0">
      <selection activeCell="A2" sqref="A2:AP2"/>
    </sheetView>
  </sheetViews>
  <sheetFormatPr defaultRowHeight="13.5"/>
  <cols>
    <col min="1" max="1" width="20.33203125" style="67" customWidth="1"/>
    <col min="2" max="2" width="5.21875" style="67" customWidth="1"/>
    <col min="3" max="3" width="5" style="67" customWidth="1"/>
    <col min="4" max="5" width="4" style="67" customWidth="1"/>
    <col min="6" max="6" width="4.44140625" style="67" customWidth="1"/>
    <col min="7" max="9" width="4.5546875" style="67" customWidth="1"/>
    <col min="10" max="26" width="4" style="67" customWidth="1"/>
    <col min="27" max="28" width="4.109375" style="67" customWidth="1"/>
    <col min="29" max="36" width="4" style="67" customWidth="1"/>
    <col min="37" max="41" width="4.109375" style="67" customWidth="1"/>
    <col min="42" max="42" width="1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5" t="s">
        <v>17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</row>
    <row r="3" spans="1:42" s="48" customFormat="1" ht="17.25" customHeight="1" thickBot="1">
      <c r="A3" s="175" t="s">
        <v>79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6" t="s">
        <v>20</v>
      </c>
      <c r="B4" s="219" t="s">
        <v>68</v>
      </c>
      <c r="C4" s="222" t="s">
        <v>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4"/>
      <c r="AP4" s="51"/>
    </row>
    <row r="5" spans="1:42" s="52" customFormat="1" ht="23.25" customHeight="1" thickTop="1">
      <c r="A5" s="217"/>
      <c r="B5" s="220"/>
      <c r="C5" s="225" t="s">
        <v>23</v>
      </c>
      <c r="D5" s="228" t="s">
        <v>24</v>
      </c>
      <c r="E5" s="131" t="s">
        <v>25</v>
      </c>
      <c r="F5" s="131" t="s">
        <v>70</v>
      </c>
      <c r="G5" s="196" t="s">
        <v>26</v>
      </c>
      <c r="H5" s="197"/>
      <c r="I5" s="198"/>
      <c r="J5" s="231" t="s">
        <v>27</v>
      </c>
      <c r="K5" s="232"/>
      <c r="L5" s="232"/>
      <c r="M5" s="232"/>
      <c r="N5" s="232"/>
      <c r="O5" s="232"/>
      <c r="P5" s="232"/>
      <c r="Q5" s="232"/>
      <c r="R5" s="233"/>
      <c r="S5" s="196" t="s">
        <v>28</v>
      </c>
      <c r="T5" s="197"/>
      <c r="U5" s="197"/>
      <c r="V5" s="197"/>
      <c r="W5" s="197"/>
      <c r="X5" s="197"/>
      <c r="Y5" s="197"/>
      <c r="Z5" s="197"/>
      <c r="AA5" s="198"/>
      <c r="AB5" s="201" t="s">
        <v>29</v>
      </c>
      <c r="AC5" s="202"/>
      <c r="AD5" s="202"/>
      <c r="AE5" s="202"/>
      <c r="AF5" s="203"/>
      <c r="AG5" s="201" t="s">
        <v>19</v>
      </c>
      <c r="AH5" s="204"/>
      <c r="AI5" s="204"/>
      <c r="AJ5" s="203"/>
      <c r="AK5" s="178" t="s">
        <v>30</v>
      </c>
      <c r="AL5" s="178"/>
      <c r="AM5" s="178"/>
      <c r="AN5" s="178"/>
      <c r="AO5" s="179"/>
      <c r="AP5" s="53"/>
    </row>
    <row r="6" spans="1:42" s="55" customFormat="1" ht="114" customHeight="1">
      <c r="A6" s="217"/>
      <c r="B6" s="220"/>
      <c r="C6" s="226"/>
      <c r="D6" s="229"/>
      <c r="E6" s="234" t="s">
        <v>69</v>
      </c>
      <c r="F6" s="238" t="s">
        <v>72</v>
      </c>
      <c r="G6" s="190" t="s">
        <v>31</v>
      </c>
      <c r="H6" s="207" t="s">
        <v>63</v>
      </c>
      <c r="I6" s="199" t="s">
        <v>75</v>
      </c>
      <c r="J6" s="236" t="s">
        <v>33</v>
      </c>
      <c r="K6" s="182" t="s">
        <v>66</v>
      </c>
      <c r="L6" s="207" t="s">
        <v>34</v>
      </c>
      <c r="M6" s="207" t="s">
        <v>35</v>
      </c>
      <c r="N6" s="213" t="s">
        <v>36</v>
      </c>
      <c r="O6" s="182" t="s">
        <v>37</v>
      </c>
      <c r="P6" s="186" t="s">
        <v>61</v>
      </c>
      <c r="Q6" s="186" t="s">
        <v>38</v>
      </c>
      <c r="R6" s="188" t="s">
        <v>39</v>
      </c>
      <c r="S6" s="190" t="s">
        <v>40</v>
      </c>
      <c r="T6" s="194" t="s">
        <v>64</v>
      </c>
      <c r="U6" s="194" t="s">
        <v>65</v>
      </c>
      <c r="V6" s="194" t="s">
        <v>41</v>
      </c>
      <c r="W6" s="186" t="s">
        <v>42</v>
      </c>
      <c r="X6" s="186" t="s">
        <v>43</v>
      </c>
      <c r="Y6" s="205" t="s">
        <v>44</v>
      </c>
      <c r="Z6" s="186" t="s">
        <v>62</v>
      </c>
      <c r="AA6" s="188" t="s">
        <v>45</v>
      </c>
      <c r="AB6" s="190" t="s">
        <v>46</v>
      </c>
      <c r="AC6" s="207" t="s">
        <v>47</v>
      </c>
      <c r="AD6" s="209" t="s">
        <v>48</v>
      </c>
      <c r="AE6" s="182" t="s">
        <v>49</v>
      </c>
      <c r="AF6" s="184" t="s">
        <v>50</v>
      </c>
      <c r="AG6" s="190" t="s">
        <v>51</v>
      </c>
      <c r="AH6" s="182" t="s">
        <v>52</v>
      </c>
      <c r="AI6" s="182" t="s">
        <v>53</v>
      </c>
      <c r="AJ6" s="184" t="s">
        <v>54</v>
      </c>
      <c r="AK6" s="192" t="s">
        <v>55</v>
      </c>
      <c r="AL6" s="213" t="s">
        <v>56</v>
      </c>
      <c r="AM6" s="213" t="s">
        <v>57</v>
      </c>
      <c r="AN6" s="213" t="s">
        <v>58</v>
      </c>
      <c r="AO6" s="180" t="s">
        <v>59</v>
      </c>
      <c r="AP6" s="54"/>
    </row>
    <row r="7" spans="1:42" s="56" customFormat="1" ht="117.75" customHeight="1" thickBot="1">
      <c r="A7" s="218"/>
      <c r="B7" s="221"/>
      <c r="C7" s="227"/>
      <c r="D7" s="230"/>
      <c r="E7" s="235"/>
      <c r="F7" s="239"/>
      <c r="G7" s="191"/>
      <c r="H7" s="208"/>
      <c r="I7" s="200"/>
      <c r="J7" s="237"/>
      <c r="K7" s="211"/>
      <c r="L7" s="208"/>
      <c r="M7" s="208"/>
      <c r="N7" s="214"/>
      <c r="O7" s="183"/>
      <c r="P7" s="187"/>
      <c r="Q7" s="187"/>
      <c r="R7" s="189"/>
      <c r="S7" s="212"/>
      <c r="T7" s="195"/>
      <c r="U7" s="195"/>
      <c r="V7" s="195"/>
      <c r="W7" s="187"/>
      <c r="X7" s="187"/>
      <c r="Y7" s="206"/>
      <c r="Z7" s="187"/>
      <c r="AA7" s="189"/>
      <c r="AB7" s="191"/>
      <c r="AC7" s="208"/>
      <c r="AD7" s="210"/>
      <c r="AE7" s="183"/>
      <c r="AF7" s="185"/>
      <c r="AG7" s="191"/>
      <c r="AH7" s="183"/>
      <c r="AI7" s="183"/>
      <c r="AJ7" s="185"/>
      <c r="AK7" s="193"/>
      <c r="AL7" s="240"/>
      <c r="AM7" s="240"/>
      <c r="AN7" s="240"/>
      <c r="AO7" s="181"/>
      <c r="AP7" s="54"/>
    </row>
    <row r="8" spans="1:42" s="60" customFormat="1" ht="23.45" customHeight="1" thickTop="1" thickBot="1">
      <c r="A8" s="57" t="s">
        <v>14</v>
      </c>
      <c r="B8" s="37">
        <f t="shared" ref="B8:B16" si="0">C8</f>
        <v>236</v>
      </c>
      <c r="C8" s="58">
        <f t="shared" ref="C8:C24" si="1">SUM(D8:AO8)</f>
        <v>236</v>
      </c>
      <c r="D8" s="89">
        <f t="shared" ref="D8:AO8" si="2">D9+D14</f>
        <v>1</v>
      </c>
      <c r="E8" s="86">
        <f t="shared" si="2"/>
        <v>1</v>
      </c>
      <c r="F8" s="86">
        <f t="shared" si="2"/>
        <v>2</v>
      </c>
      <c r="G8" s="75">
        <f>G9+G14</f>
        <v>13</v>
      </c>
      <c r="H8" s="1">
        <f>H9+H14</f>
        <v>0</v>
      </c>
      <c r="I8" s="1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0</v>
      </c>
      <c r="P8" s="1">
        <f t="shared" si="2"/>
        <v>1</v>
      </c>
      <c r="Q8" s="1">
        <f t="shared" si="2"/>
        <v>12</v>
      </c>
      <c r="R8" s="68">
        <f>R9+R14</f>
        <v>3</v>
      </c>
      <c r="S8" s="75">
        <f t="shared" si="2"/>
        <v>10</v>
      </c>
      <c r="T8" s="1">
        <f t="shared" si="2"/>
        <v>1</v>
      </c>
      <c r="U8" s="1">
        <f t="shared" si="2"/>
        <v>1</v>
      </c>
      <c r="V8" s="1">
        <f t="shared" si="2"/>
        <v>1</v>
      </c>
      <c r="W8" s="1">
        <f t="shared" si="2"/>
        <v>3</v>
      </c>
      <c r="X8" s="1">
        <f t="shared" si="2"/>
        <v>1</v>
      </c>
      <c r="Y8" s="1">
        <f t="shared" si="2"/>
        <v>28</v>
      </c>
      <c r="Z8" s="1">
        <f t="shared" si="2"/>
        <v>3</v>
      </c>
      <c r="AA8" s="68">
        <f t="shared" si="2"/>
        <v>12</v>
      </c>
      <c r="AB8" s="75">
        <f t="shared" si="2"/>
        <v>7</v>
      </c>
      <c r="AC8" s="1">
        <f t="shared" si="2"/>
        <v>1</v>
      </c>
      <c r="AD8" s="1">
        <f t="shared" si="2"/>
        <v>35</v>
      </c>
      <c r="AE8" s="1">
        <f t="shared" si="2"/>
        <v>7</v>
      </c>
      <c r="AF8" s="68">
        <f t="shared" si="2"/>
        <v>4</v>
      </c>
      <c r="AG8" s="75">
        <f t="shared" si="2"/>
        <v>1</v>
      </c>
      <c r="AH8" s="1">
        <f t="shared" si="2"/>
        <v>22</v>
      </c>
      <c r="AI8" s="1">
        <f t="shared" si="2"/>
        <v>14</v>
      </c>
      <c r="AJ8" s="68">
        <f t="shared" si="2"/>
        <v>21</v>
      </c>
      <c r="AK8" s="164">
        <f t="shared" si="2"/>
        <v>3</v>
      </c>
      <c r="AL8" s="1">
        <f t="shared" si="2"/>
        <v>0</v>
      </c>
      <c r="AM8" s="1">
        <f t="shared" si="2"/>
        <v>11</v>
      </c>
      <c r="AN8" s="1">
        <f t="shared" si="2"/>
        <v>2</v>
      </c>
      <c r="AO8" s="110">
        <f t="shared" si="2"/>
        <v>1</v>
      </c>
      <c r="AP8" s="59"/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38">
        <f t="shared" si="1"/>
        <v>64</v>
      </c>
      <c r="D9" s="90">
        <f t="shared" ref="D9:J9" si="3">SUM(D10:D13)</f>
        <v>1</v>
      </c>
      <c r="E9" s="72">
        <f t="shared" si="3"/>
        <v>1</v>
      </c>
      <c r="F9" s="72">
        <f>SUM(F10:F13)</f>
        <v>2</v>
      </c>
      <c r="G9" s="76">
        <f>SUM(G10:G13)</f>
        <v>1</v>
      </c>
      <c r="H9" s="3">
        <f>SUM(H10:H13)</f>
        <v>0</v>
      </c>
      <c r="I9" s="3">
        <f>SUM(I10:I13)</f>
        <v>1</v>
      </c>
      <c r="J9" s="76">
        <f t="shared" si="3"/>
        <v>0</v>
      </c>
      <c r="K9" s="3">
        <f>SUM(K10:K13)</f>
        <v>2</v>
      </c>
      <c r="L9" s="3">
        <f>SUM(L10:L13)</f>
        <v>3</v>
      </c>
      <c r="M9" s="3">
        <f t="shared" ref="M9:AO9" si="4">SUM(M10:M13)</f>
        <v>0</v>
      </c>
      <c r="N9" s="3">
        <f t="shared" si="4"/>
        <v>0</v>
      </c>
      <c r="O9" s="3">
        <f t="shared" si="4"/>
        <v>0</v>
      </c>
      <c r="P9" s="3">
        <f t="shared" si="4"/>
        <v>1</v>
      </c>
      <c r="Q9" s="3">
        <f t="shared" si="4"/>
        <v>3</v>
      </c>
      <c r="R9" s="69">
        <f t="shared" si="4"/>
        <v>3</v>
      </c>
      <c r="S9" s="76">
        <f t="shared" si="4"/>
        <v>2</v>
      </c>
      <c r="T9" s="3">
        <f t="shared" si="4"/>
        <v>1</v>
      </c>
      <c r="U9" s="3">
        <f t="shared" si="4"/>
        <v>1</v>
      </c>
      <c r="V9" s="3">
        <f t="shared" si="4"/>
        <v>1</v>
      </c>
      <c r="W9" s="3">
        <f t="shared" si="4"/>
        <v>1</v>
      </c>
      <c r="X9" s="3">
        <f t="shared" si="4"/>
        <v>0</v>
      </c>
      <c r="Y9" s="3">
        <f t="shared" si="4"/>
        <v>4</v>
      </c>
      <c r="Z9" s="3">
        <f t="shared" si="4"/>
        <v>3</v>
      </c>
      <c r="AA9" s="69">
        <f t="shared" si="4"/>
        <v>12</v>
      </c>
      <c r="AB9" s="76">
        <f t="shared" si="4"/>
        <v>4</v>
      </c>
      <c r="AC9" s="3">
        <f t="shared" si="4"/>
        <v>1</v>
      </c>
      <c r="AD9" s="3">
        <f t="shared" si="4"/>
        <v>4</v>
      </c>
      <c r="AE9" s="3">
        <f t="shared" si="4"/>
        <v>0</v>
      </c>
      <c r="AF9" s="69">
        <f t="shared" si="4"/>
        <v>1</v>
      </c>
      <c r="AG9" s="76">
        <f t="shared" si="4"/>
        <v>1</v>
      </c>
      <c r="AH9" s="3">
        <f t="shared" si="4"/>
        <v>3</v>
      </c>
      <c r="AI9" s="3">
        <f t="shared" si="4"/>
        <v>3</v>
      </c>
      <c r="AJ9" s="69">
        <f t="shared" si="4"/>
        <v>2</v>
      </c>
      <c r="AK9" s="2">
        <f t="shared" si="4"/>
        <v>1</v>
      </c>
      <c r="AL9" s="3">
        <f t="shared" si="4"/>
        <v>0</v>
      </c>
      <c r="AM9" s="3">
        <f t="shared" si="4"/>
        <v>1</v>
      </c>
      <c r="AN9" s="3">
        <f t="shared" si="4"/>
        <v>0</v>
      </c>
      <c r="AO9" s="43">
        <f t="shared" si="4"/>
        <v>0</v>
      </c>
      <c r="AP9" s="59"/>
    </row>
    <row r="10" spans="1:42" s="56" customFormat="1" ht="23.45" customHeight="1" thickTop="1">
      <c r="A10" s="62" t="s">
        <v>1</v>
      </c>
      <c r="B10" s="39">
        <f t="shared" si="0"/>
        <v>16</v>
      </c>
      <c r="C10" s="35">
        <f>SUM(D10:AO10)</f>
        <v>16</v>
      </c>
      <c r="D10" s="91">
        <v>1</v>
      </c>
      <c r="E10" s="10"/>
      <c r="F10" s="25">
        <v>1</v>
      </c>
      <c r="G10" s="83"/>
      <c r="H10" s="5"/>
      <c r="I10" s="70"/>
      <c r="J10" s="77"/>
      <c r="K10" s="6">
        <v>2</v>
      </c>
      <c r="L10" s="6">
        <v>1</v>
      </c>
      <c r="M10" s="6"/>
      <c r="N10" s="5"/>
      <c r="O10" s="5"/>
      <c r="P10" s="5"/>
      <c r="Q10" s="5"/>
      <c r="R10" s="70"/>
      <c r="S10" s="77">
        <v>2</v>
      </c>
      <c r="T10" s="129"/>
      <c r="U10" s="129"/>
      <c r="V10" s="5">
        <v>1</v>
      </c>
      <c r="W10" s="5"/>
      <c r="X10" s="5"/>
      <c r="Y10" s="7"/>
      <c r="Z10" s="5"/>
      <c r="AA10" s="70"/>
      <c r="AB10" s="77">
        <v>4</v>
      </c>
      <c r="AC10" s="6">
        <v>1</v>
      </c>
      <c r="AD10" s="8"/>
      <c r="AE10" s="6"/>
      <c r="AF10" s="73">
        <v>1</v>
      </c>
      <c r="AG10" s="77"/>
      <c r="AH10" s="9"/>
      <c r="AI10" s="9"/>
      <c r="AJ10" s="73">
        <v>2</v>
      </c>
      <c r="AK10" s="4"/>
      <c r="AL10" s="6"/>
      <c r="AM10" s="5"/>
      <c r="AN10" s="5"/>
      <c r="AO10" s="40"/>
      <c r="AP10" s="63"/>
    </row>
    <row r="11" spans="1:42" s="56" customFormat="1" ht="23.45" customHeight="1">
      <c r="A11" s="64" t="s">
        <v>2</v>
      </c>
      <c r="B11" s="34">
        <f t="shared" si="0"/>
        <v>26</v>
      </c>
      <c r="C11" s="35">
        <f>SUM(D11:AO11)</f>
        <v>26</v>
      </c>
      <c r="D11" s="92"/>
      <c r="E11" s="26">
        <v>1</v>
      </c>
      <c r="F11" s="16"/>
      <c r="G11" s="78"/>
      <c r="H11" s="13"/>
      <c r="I11" s="71">
        <v>1</v>
      </c>
      <c r="J11" s="78"/>
      <c r="K11" s="13"/>
      <c r="L11" s="13">
        <v>1</v>
      </c>
      <c r="M11" s="13"/>
      <c r="N11" s="126"/>
      <c r="O11" s="12"/>
      <c r="P11" s="12"/>
      <c r="Q11" s="12">
        <v>3</v>
      </c>
      <c r="R11" s="33">
        <v>1</v>
      </c>
      <c r="S11" s="78"/>
      <c r="T11" s="13"/>
      <c r="U11" s="13"/>
      <c r="V11" s="13"/>
      <c r="W11" s="13">
        <v>1</v>
      </c>
      <c r="X11" s="13"/>
      <c r="Y11" s="14">
        <v>4</v>
      </c>
      <c r="Z11" s="13"/>
      <c r="AA11" s="71">
        <v>2</v>
      </c>
      <c r="AB11" s="78"/>
      <c r="AC11" s="13"/>
      <c r="AD11" s="14">
        <v>4</v>
      </c>
      <c r="AE11" s="13"/>
      <c r="AF11" s="71"/>
      <c r="AG11" s="78"/>
      <c r="AH11" s="15">
        <v>3</v>
      </c>
      <c r="AI11" s="15">
        <v>3</v>
      </c>
      <c r="AJ11" s="71"/>
      <c r="AK11" s="11">
        <v>1</v>
      </c>
      <c r="AL11" s="13"/>
      <c r="AM11" s="13">
        <v>1</v>
      </c>
      <c r="AN11" s="13"/>
      <c r="AO11" s="41"/>
      <c r="AP11" s="63"/>
    </row>
    <row r="12" spans="1:42" s="56" customFormat="1" ht="23.45" customHeight="1">
      <c r="A12" s="64" t="s">
        <v>3</v>
      </c>
      <c r="B12" s="34">
        <f t="shared" si="0"/>
        <v>12</v>
      </c>
      <c r="C12" s="35">
        <f t="shared" si="1"/>
        <v>12</v>
      </c>
      <c r="D12" s="92"/>
      <c r="E12" s="16"/>
      <c r="F12" s="16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71">
        <v>1</v>
      </c>
      <c r="S12" s="78"/>
      <c r="T12" s="13"/>
      <c r="U12" s="13"/>
      <c r="V12" s="13"/>
      <c r="W12" s="13"/>
      <c r="X12" s="13"/>
      <c r="Y12" s="14"/>
      <c r="Z12" s="13"/>
      <c r="AA12" s="71">
        <v>9</v>
      </c>
      <c r="AB12" s="78"/>
      <c r="AC12" s="13"/>
      <c r="AD12" s="14"/>
      <c r="AE12" s="13"/>
      <c r="AF12" s="71"/>
      <c r="AG12" s="78">
        <v>1</v>
      </c>
      <c r="AH12" s="15"/>
      <c r="AI12" s="15"/>
      <c r="AJ12" s="71"/>
      <c r="AK12" s="11"/>
      <c r="AL12" s="13"/>
      <c r="AM12" s="13"/>
      <c r="AN12" s="13"/>
      <c r="AO12" s="41"/>
      <c r="AP12" s="63"/>
    </row>
    <row r="13" spans="1:42" s="56" customFormat="1" ht="23.45" customHeight="1" thickBot="1">
      <c r="A13" s="65" t="s">
        <v>4</v>
      </c>
      <c r="B13" s="36">
        <f t="shared" si="0"/>
        <v>10</v>
      </c>
      <c r="C13" s="35">
        <f t="shared" si="1"/>
        <v>10</v>
      </c>
      <c r="D13" s="93"/>
      <c r="E13" s="87"/>
      <c r="F13" s="87"/>
      <c r="G13" s="102">
        <v>1</v>
      </c>
      <c r="H13" s="18"/>
      <c r="I13" s="23"/>
      <c r="J13" s="79"/>
      <c r="K13" s="19"/>
      <c r="L13" s="19">
        <v>1</v>
      </c>
      <c r="M13" s="19"/>
      <c r="N13" s="127"/>
      <c r="O13" s="18"/>
      <c r="P13" s="18">
        <v>1</v>
      </c>
      <c r="Q13" s="18"/>
      <c r="R13" s="23">
        <v>1</v>
      </c>
      <c r="S13" s="79"/>
      <c r="T13" s="21">
        <v>1</v>
      </c>
      <c r="U13" s="21">
        <v>1</v>
      </c>
      <c r="V13" s="19"/>
      <c r="W13" s="19"/>
      <c r="X13" s="19"/>
      <c r="Y13" s="20"/>
      <c r="Z13" s="19">
        <v>3</v>
      </c>
      <c r="AA13" s="82">
        <v>1</v>
      </c>
      <c r="AB13" s="79"/>
      <c r="AC13" s="18"/>
      <c r="AD13" s="21"/>
      <c r="AE13" s="18"/>
      <c r="AF13" s="23"/>
      <c r="AG13" s="79"/>
      <c r="AH13" s="22"/>
      <c r="AI13" s="22"/>
      <c r="AJ13" s="23"/>
      <c r="AK13" s="17"/>
      <c r="AL13" s="18"/>
      <c r="AM13" s="18"/>
      <c r="AN13" s="18"/>
      <c r="AO13" s="42"/>
      <c r="AP13" s="63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38">
        <f t="shared" si="1"/>
        <v>172</v>
      </c>
      <c r="D14" s="90">
        <f>SUM(D15:D26)</f>
        <v>0</v>
      </c>
      <c r="E14" s="72">
        <f t="shared" ref="E14:AO14" si="5">SUM(E15:E26)</f>
        <v>0</v>
      </c>
      <c r="F14" s="72"/>
      <c r="G14" s="76">
        <f t="shared" si="5"/>
        <v>12</v>
      </c>
      <c r="H14" s="3">
        <f t="shared" si="5"/>
        <v>0</v>
      </c>
      <c r="I14" s="3">
        <f t="shared" si="5"/>
        <v>0</v>
      </c>
      <c r="J14" s="76">
        <f t="shared" si="5"/>
        <v>0</v>
      </c>
      <c r="K14" s="2">
        <f t="shared" si="5"/>
        <v>4</v>
      </c>
      <c r="L14" s="2">
        <f t="shared" si="5"/>
        <v>0</v>
      </c>
      <c r="M14" s="2">
        <f t="shared" si="5"/>
        <v>0</v>
      </c>
      <c r="N14" s="2">
        <f t="shared" si="5"/>
        <v>4</v>
      </c>
      <c r="O14" s="2">
        <f t="shared" si="5"/>
        <v>0</v>
      </c>
      <c r="P14" s="2">
        <f t="shared" si="5"/>
        <v>0</v>
      </c>
      <c r="Q14" s="2">
        <f t="shared" si="5"/>
        <v>9</v>
      </c>
      <c r="R14" s="72">
        <f t="shared" si="5"/>
        <v>0</v>
      </c>
      <c r="S14" s="76">
        <f t="shared" si="5"/>
        <v>8</v>
      </c>
      <c r="T14" s="2">
        <f t="shared" si="5"/>
        <v>0</v>
      </c>
      <c r="U14" s="2">
        <f t="shared" si="5"/>
        <v>0</v>
      </c>
      <c r="V14" s="2">
        <f t="shared" si="5"/>
        <v>0</v>
      </c>
      <c r="W14" s="2">
        <f t="shared" si="5"/>
        <v>2</v>
      </c>
      <c r="X14" s="2">
        <f t="shared" si="5"/>
        <v>1</v>
      </c>
      <c r="Y14" s="2">
        <f t="shared" si="5"/>
        <v>24</v>
      </c>
      <c r="Z14" s="2">
        <f t="shared" si="5"/>
        <v>0</v>
      </c>
      <c r="AA14" s="72">
        <f t="shared" si="5"/>
        <v>0</v>
      </c>
      <c r="AB14" s="76">
        <f t="shared" si="5"/>
        <v>3</v>
      </c>
      <c r="AC14" s="2">
        <f t="shared" si="5"/>
        <v>0</v>
      </c>
      <c r="AD14" s="2">
        <f t="shared" si="5"/>
        <v>31</v>
      </c>
      <c r="AE14" s="2">
        <f t="shared" si="5"/>
        <v>7</v>
      </c>
      <c r="AF14" s="72">
        <f t="shared" si="5"/>
        <v>3</v>
      </c>
      <c r="AG14" s="76">
        <f t="shared" si="5"/>
        <v>0</v>
      </c>
      <c r="AH14" s="2">
        <f t="shared" si="5"/>
        <v>19</v>
      </c>
      <c r="AI14" s="2">
        <f t="shared" si="5"/>
        <v>11</v>
      </c>
      <c r="AJ14" s="72">
        <f t="shared" si="5"/>
        <v>19</v>
      </c>
      <c r="AK14" s="2">
        <f t="shared" si="5"/>
        <v>2</v>
      </c>
      <c r="AL14" s="2">
        <f t="shared" si="5"/>
        <v>0</v>
      </c>
      <c r="AM14" s="2">
        <f t="shared" si="5"/>
        <v>10</v>
      </c>
      <c r="AN14" s="2">
        <f t="shared" si="5"/>
        <v>2</v>
      </c>
      <c r="AO14" s="111">
        <f t="shared" si="5"/>
        <v>1</v>
      </c>
      <c r="AP14" s="59"/>
    </row>
    <row r="15" spans="1:42" s="56" customFormat="1" ht="23.45" customHeight="1" thickTop="1">
      <c r="A15" s="62" t="s">
        <v>5</v>
      </c>
      <c r="B15" s="39">
        <f t="shared" si="0"/>
        <v>15</v>
      </c>
      <c r="C15" s="35">
        <f t="shared" si="1"/>
        <v>15</v>
      </c>
      <c r="D15" s="94"/>
      <c r="E15" s="108"/>
      <c r="F15" s="10"/>
      <c r="G15" s="77">
        <v>1</v>
      </c>
      <c r="H15" s="6"/>
      <c r="I15" s="73"/>
      <c r="J15" s="77"/>
      <c r="K15" s="5"/>
      <c r="L15" s="5"/>
      <c r="M15" s="5"/>
      <c r="N15" s="6">
        <v>1</v>
      </c>
      <c r="O15" s="6"/>
      <c r="P15" s="6"/>
      <c r="Q15" s="6">
        <v>1</v>
      </c>
      <c r="R15" s="73"/>
      <c r="S15" s="83">
        <v>1</v>
      </c>
      <c r="T15" s="5"/>
      <c r="U15" s="5"/>
      <c r="V15" s="5"/>
      <c r="W15" s="5"/>
      <c r="X15" s="5"/>
      <c r="Y15" s="7">
        <v>3</v>
      </c>
      <c r="Z15" s="5"/>
      <c r="AA15" s="70"/>
      <c r="AB15" s="83"/>
      <c r="AC15" s="5"/>
      <c r="AD15" s="7">
        <v>2</v>
      </c>
      <c r="AE15" s="5"/>
      <c r="AF15" s="70"/>
      <c r="AG15" s="83"/>
      <c r="AH15" s="24"/>
      <c r="AI15" s="24">
        <v>1</v>
      </c>
      <c r="AJ15" s="70">
        <v>2</v>
      </c>
      <c r="AK15" s="4"/>
      <c r="AL15" s="6"/>
      <c r="AM15" s="6">
        <v>2</v>
      </c>
      <c r="AN15" s="6">
        <v>1</v>
      </c>
      <c r="AO15" s="44"/>
      <c r="AP15" s="59"/>
    </row>
    <row r="16" spans="1:42" s="56" customFormat="1" ht="23.45" customHeight="1">
      <c r="A16" s="64" t="s">
        <v>6</v>
      </c>
      <c r="B16" s="34">
        <f t="shared" si="0"/>
        <v>15</v>
      </c>
      <c r="C16" s="35">
        <f t="shared" si="1"/>
        <v>15</v>
      </c>
      <c r="D16" s="92"/>
      <c r="E16" s="99"/>
      <c r="F16" s="16"/>
      <c r="G16" s="80">
        <v>1</v>
      </c>
      <c r="H16" s="12"/>
      <c r="I16" s="33"/>
      <c r="J16" s="80"/>
      <c r="K16" s="13">
        <v>1</v>
      </c>
      <c r="L16" s="13"/>
      <c r="M16" s="13"/>
      <c r="N16" s="12">
        <v>1</v>
      </c>
      <c r="O16" s="12"/>
      <c r="P16" s="12"/>
      <c r="Q16" s="12">
        <v>1</v>
      </c>
      <c r="R16" s="33"/>
      <c r="S16" s="78"/>
      <c r="T16" s="13"/>
      <c r="U16" s="13"/>
      <c r="V16" s="13"/>
      <c r="W16" s="13">
        <v>1</v>
      </c>
      <c r="X16" s="13"/>
      <c r="Y16" s="14">
        <v>1</v>
      </c>
      <c r="Z16" s="13"/>
      <c r="AA16" s="71"/>
      <c r="AB16" s="80"/>
      <c r="AC16" s="12"/>
      <c r="AD16" s="12">
        <v>3</v>
      </c>
      <c r="AE16" s="12"/>
      <c r="AF16" s="33"/>
      <c r="AG16" s="78"/>
      <c r="AH16" s="15"/>
      <c r="AI16" s="15">
        <v>1</v>
      </c>
      <c r="AJ16" s="71">
        <v>2</v>
      </c>
      <c r="AK16" s="11"/>
      <c r="AL16" s="13"/>
      <c r="AM16" s="12">
        <v>3</v>
      </c>
      <c r="AN16" s="12"/>
      <c r="AO16" s="45"/>
      <c r="AP16" s="59"/>
    </row>
    <row r="17" spans="1:42" s="56" customFormat="1" ht="23.45" customHeight="1">
      <c r="A17" s="64" t="s">
        <v>7</v>
      </c>
      <c r="B17" s="34">
        <f t="shared" ref="B17:B23" si="6">C17</f>
        <v>15</v>
      </c>
      <c r="C17" s="35">
        <f>SUM(D17:AO17)</f>
        <v>15</v>
      </c>
      <c r="D17" s="92"/>
      <c r="E17" s="99"/>
      <c r="F17" s="16"/>
      <c r="G17" s="80">
        <v>1</v>
      </c>
      <c r="H17" s="12"/>
      <c r="I17" s="33"/>
      <c r="J17" s="80"/>
      <c r="K17" s="13">
        <v>1</v>
      </c>
      <c r="L17" s="13"/>
      <c r="M17" s="13"/>
      <c r="N17" s="12"/>
      <c r="O17" s="12"/>
      <c r="P17" s="12"/>
      <c r="Q17" s="12">
        <v>1</v>
      </c>
      <c r="R17" s="33"/>
      <c r="S17" s="80"/>
      <c r="T17" s="12"/>
      <c r="U17" s="12"/>
      <c r="V17" s="13"/>
      <c r="W17" s="13"/>
      <c r="X17" s="13">
        <v>1</v>
      </c>
      <c r="Y17" s="14">
        <v>3</v>
      </c>
      <c r="Z17" s="13"/>
      <c r="AA17" s="71"/>
      <c r="AB17" s="78"/>
      <c r="AC17" s="13"/>
      <c r="AD17" s="14">
        <v>1</v>
      </c>
      <c r="AE17" s="13">
        <v>1</v>
      </c>
      <c r="AF17" s="71"/>
      <c r="AG17" s="78"/>
      <c r="AH17" s="15">
        <v>3</v>
      </c>
      <c r="AI17" s="15">
        <v>1</v>
      </c>
      <c r="AJ17" s="71">
        <v>1</v>
      </c>
      <c r="AK17" s="27"/>
      <c r="AL17" s="12"/>
      <c r="AM17" s="12">
        <v>1</v>
      </c>
      <c r="AN17" s="12"/>
      <c r="AO17" s="45"/>
      <c r="AP17" s="59"/>
    </row>
    <row r="18" spans="1:42" s="56" customFormat="1" ht="23.45" customHeight="1">
      <c r="A18" s="64" t="s">
        <v>8</v>
      </c>
      <c r="B18" s="34">
        <f t="shared" si="6"/>
        <v>17</v>
      </c>
      <c r="C18" s="35">
        <f t="shared" si="1"/>
        <v>17</v>
      </c>
      <c r="D18" s="92"/>
      <c r="E18" s="99"/>
      <c r="F18" s="16"/>
      <c r="G18" s="80">
        <v>1</v>
      </c>
      <c r="H18" s="12"/>
      <c r="I18" s="33"/>
      <c r="J18" s="80"/>
      <c r="K18" s="13"/>
      <c r="L18" s="13"/>
      <c r="M18" s="13"/>
      <c r="N18" s="12"/>
      <c r="O18" s="12"/>
      <c r="P18" s="12"/>
      <c r="Q18" s="12">
        <v>1</v>
      </c>
      <c r="R18" s="33"/>
      <c r="S18" s="78">
        <v>1</v>
      </c>
      <c r="T18" s="13"/>
      <c r="U18" s="13"/>
      <c r="V18" s="13"/>
      <c r="W18" s="13"/>
      <c r="X18" s="13"/>
      <c r="Y18" s="14">
        <v>3</v>
      </c>
      <c r="Z18" s="13"/>
      <c r="AA18" s="71"/>
      <c r="AB18" s="78"/>
      <c r="AC18" s="13"/>
      <c r="AD18" s="14">
        <v>4</v>
      </c>
      <c r="AE18" s="13">
        <v>1</v>
      </c>
      <c r="AF18" s="71"/>
      <c r="AG18" s="78"/>
      <c r="AH18" s="15">
        <v>2</v>
      </c>
      <c r="AI18" s="15">
        <v>1</v>
      </c>
      <c r="AJ18" s="71">
        <v>2</v>
      </c>
      <c r="AK18" s="27"/>
      <c r="AL18" s="12"/>
      <c r="AM18" s="12"/>
      <c r="AN18" s="12"/>
      <c r="AO18" s="45">
        <v>1</v>
      </c>
      <c r="AP18" s="59"/>
    </row>
    <row r="19" spans="1:42" s="56" customFormat="1" ht="23.45" customHeight="1">
      <c r="A19" s="64" t="s">
        <v>9</v>
      </c>
      <c r="B19" s="34">
        <f t="shared" si="6"/>
        <v>19</v>
      </c>
      <c r="C19" s="35">
        <f t="shared" si="1"/>
        <v>19</v>
      </c>
      <c r="D19" s="92"/>
      <c r="E19" s="99"/>
      <c r="F19" s="16"/>
      <c r="G19" s="80">
        <v>1</v>
      </c>
      <c r="H19" s="12"/>
      <c r="I19" s="33"/>
      <c r="J19" s="80"/>
      <c r="K19" s="13">
        <v>1</v>
      </c>
      <c r="L19" s="13"/>
      <c r="M19" s="13"/>
      <c r="N19" s="12">
        <v>1</v>
      </c>
      <c r="O19" s="12"/>
      <c r="P19" s="12"/>
      <c r="Q19" s="12"/>
      <c r="R19" s="33"/>
      <c r="S19" s="78"/>
      <c r="T19" s="13"/>
      <c r="U19" s="13"/>
      <c r="V19" s="13"/>
      <c r="W19" s="13"/>
      <c r="X19" s="13"/>
      <c r="Y19" s="14">
        <v>2</v>
      </c>
      <c r="Z19" s="13"/>
      <c r="AA19" s="71"/>
      <c r="AB19" s="78">
        <v>1</v>
      </c>
      <c r="AC19" s="13"/>
      <c r="AD19" s="14">
        <v>5</v>
      </c>
      <c r="AE19" s="13">
        <v>1</v>
      </c>
      <c r="AF19" s="71"/>
      <c r="AG19" s="78"/>
      <c r="AH19" s="15">
        <v>2</v>
      </c>
      <c r="AI19" s="15">
        <v>1</v>
      </c>
      <c r="AJ19" s="71">
        <v>2</v>
      </c>
      <c r="AK19" s="27"/>
      <c r="AL19" s="12"/>
      <c r="AM19" s="12">
        <v>2</v>
      </c>
      <c r="AN19" s="12"/>
      <c r="AO19" s="45"/>
      <c r="AP19" s="59"/>
    </row>
    <row r="20" spans="1:42" s="56" customFormat="1" ht="23.45" customHeight="1">
      <c r="A20" s="64" t="s">
        <v>10</v>
      </c>
      <c r="B20" s="34">
        <f t="shared" si="6"/>
        <v>18</v>
      </c>
      <c r="C20" s="35">
        <f t="shared" si="1"/>
        <v>18</v>
      </c>
      <c r="D20" s="92"/>
      <c r="E20" s="99"/>
      <c r="F20" s="16"/>
      <c r="G20" s="80">
        <v>1</v>
      </c>
      <c r="H20" s="12"/>
      <c r="I20" s="33"/>
      <c r="J20" s="80"/>
      <c r="K20" s="13"/>
      <c r="L20" s="13"/>
      <c r="M20" s="13"/>
      <c r="N20" s="12">
        <v>1</v>
      </c>
      <c r="O20" s="12"/>
      <c r="P20" s="12"/>
      <c r="Q20" s="12">
        <v>1</v>
      </c>
      <c r="R20" s="33"/>
      <c r="S20" s="78">
        <v>1</v>
      </c>
      <c r="T20" s="13"/>
      <c r="U20" s="13"/>
      <c r="V20" s="13"/>
      <c r="W20" s="13"/>
      <c r="X20" s="13"/>
      <c r="Y20" s="14">
        <v>2</v>
      </c>
      <c r="Z20" s="13"/>
      <c r="AA20" s="71"/>
      <c r="AB20" s="78"/>
      <c r="AC20" s="13"/>
      <c r="AD20" s="14">
        <v>4</v>
      </c>
      <c r="AE20" s="13"/>
      <c r="AF20" s="71"/>
      <c r="AG20" s="78"/>
      <c r="AH20" s="15">
        <v>4</v>
      </c>
      <c r="AI20" s="15">
        <v>2</v>
      </c>
      <c r="AJ20" s="71">
        <v>2</v>
      </c>
      <c r="AK20" s="11"/>
      <c r="AL20" s="13"/>
      <c r="AM20" s="12"/>
      <c r="AN20" s="12"/>
      <c r="AO20" s="45"/>
      <c r="AP20" s="59"/>
    </row>
    <row r="21" spans="1:42" s="56" customFormat="1" ht="23.45" customHeight="1">
      <c r="A21" s="64" t="s">
        <v>11</v>
      </c>
      <c r="B21" s="34">
        <f t="shared" si="6"/>
        <v>17</v>
      </c>
      <c r="C21" s="35">
        <f t="shared" si="1"/>
        <v>17</v>
      </c>
      <c r="D21" s="92"/>
      <c r="E21" s="99"/>
      <c r="F21" s="16"/>
      <c r="G21" s="80">
        <v>1</v>
      </c>
      <c r="H21" s="12"/>
      <c r="I21" s="33"/>
      <c r="J21" s="80"/>
      <c r="K21" s="13">
        <v>1</v>
      </c>
      <c r="L21" s="13"/>
      <c r="M21" s="13"/>
      <c r="N21" s="12"/>
      <c r="O21" s="12"/>
      <c r="P21" s="12"/>
      <c r="Q21" s="12">
        <v>1</v>
      </c>
      <c r="R21" s="33"/>
      <c r="S21" s="78"/>
      <c r="T21" s="13"/>
      <c r="U21" s="13"/>
      <c r="V21" s="13"/>
      <c r="W21" s="13"/>
      <c r="X21" s="13"/>
      <c r="Y21" s="14">
        <v>4</v>
      </c>
      <c r="Z21" s="13"/>
      <c r="AA21" s="71"/>
      <c r="AB21" s="78"/>
      <c r="AC21" s="13"/>
      <c r="AD21" s="14">
        <v>3</v>
      </c>
      <c r="AE21" s="13">
        <v>1</v>
      </c>
      <c r="AF21" s="71"/>
      <c r="AG21" s="78"/>
      <c r="AH21" s="15">
        <v>2</v>
      </c>
      <c r="AI21" s="15">
        <v>1</v>
      </c>
      <c r="AJ21" s="71">
        <v>2</v>
      </c>
      <c r="AK21" s="11"/>
      <c r="AL21" s="13"/>
      <c r="AM21" s="12">
        <v>1</v>
      </c>
      <c r="AN21" s="12"/>
      <c r="AO21" s="45"/>
      <c r="AP21" s="59"/>
    </row>
    <row r="22" spans="1:42" s="56" customFormat="1" ht="23.45" customHeight="1">
      <c r="A22" s="64" t="s">
        <v>12</v>
      </c>
      <c r="B22" s="34">
        <f t="shared" si="6"/>
        <v>15</v>
      </c>
      <c r="C22" s="35">
        <f t="shared" si="1"/>
        <v>15</v>
      </c>
      <c r="D22" s="92"/>
      <c r="E22" s="99"/>
      <c r="F22" s="16"/>
      <c r="G22" s="80">
        <v>1</v>
      </c>
      <c r="H22" s="12"/>
      <c r="I22" s="33"/>
      <c r="J22" s="80"/>
      <c r="K22" s="13"/>
      <c r="L22" s="13"/>
      <c r="M22" s="13"/>
      <c r="N22" s="12"/>
      <c r="O22" s="12"/>
      <c r="P22" s="12"/>
      <c r="R22" s="33"/>
      <c r="S22" s="78">
        <v>1</v>
      </c>
      <c r="T22" s="13"/>
      <c r="U22" s="13"/>
      <c r="V22" s="13"/>
      <c r="W22" s="13"/>
      <c r="X22" s="13"/>
      <c r="Y22" s="14">
        <v>2</v>
      </c>
      <c r="Z22" s="13"/>
      <c r="AA22" s="71"/>
      <c r="AB22" s="78">
        <v>1</v>
      </c>
      <c r="AC22" s="13"/>
      <c r="AD22" s="134">
        <v>4</v>
      </c>
      <c r="AE22" s="13">
        <v>1</v>
      </c>
      <c r="AF22" s="71"/>
      <c r="AG22" s="78"/>
      <c r="AH22" s="15">
        <v>2</v>
      </c>
      <c r="AI22" s="15">
        <v>1</v>
      </c>
      <c r="AJ22" s="71">
        <v>2</v>
      </c>
      <c r="AK22" s="173">
        <v>0</v>
      </c>
      <c r="AL22" s="13"/>
      <c r="AM22" s="12"/>
      <c r="AN22" s="12"/>
      <c r="AO22" s="45"/>
      <c r="AP22" s="59"/>
    </row>
    <row r="23" spans="1:42" s="56" customFormat="1" ht="23.45" customHeight="1">
      <c r="A23" s="66" t="s">
        <v>16</v>
      </c>
      <c r="B23" s="34">
        <f t="shared" si="6"/>
        <v>15</v>
      </c>
      <c r="C23" s="35">
        <f t="shared" si="1"/>
        <v>15</v>
      </c>
      <c r="D23" s="95"/>
      <c r="E23" s="101"/>
      <c r="F23" s="88"/>
      <c r="G23" s="81">
        <v>1</v>
      </c>
      <c r="H23" s="30"/>
      <c r="I23" s="74"/>
      <c r="J23" s="81"/>
      <c r="K23" s="29"/>
      <c r="L23" s="29"/>
      <c r="M23" s="29"/>
      <c r="N23" s="30"/>
      <c r="O23" s="30"/>
      <c r="P23" s="30"/>
      <c r="Q23" s="30">
        <v>1</v>
      </c>
      <c r="R23" s="74"/>
      <c r="S23" s="84">
        <v>1</v>
      </c>
      <c r="T23" s="29"/>
      <c r="U23" s="29"/>
      <c r="V23" s="29"/>
      <c r="W23" s="29"/>
      <c r="X23" s="29"/>
      <c r="Y23" s="31">
        <v>2</v>
      </c>
      <c r="Z23" s="29"/>
      <c r="AA23" s="85"/>
      <c r="AB23" s="84"/>
      <c r="AC23" s="29"/>
      <c r="AD23" s="31">
        <v>2</v>
      </c>
      <c r="AE23" s="29">
        <v>1</v>
      </c>
      <c r="AF23" s="85">
        <v>1</v>
      </c>
      <c r="AG23" s="84"/>
      <c r="AH23" s="32">
        <v>3</v>
      </c>
      <c r="AI23" s="32">
        <v>1</v>
      </c>
      <c r="AJ23" s="85">
        <v>1</v>
      </c>
      <c r="AK23" s="28">
        <v>1</v>
      </c>
      <c r="AL23" s="29"/>
      <c r="AM23" s="30"/>
      <c r="AN23" s="30"/>
      <c r="AO23" s="46"/>
      <c r="AP23" s="59"/>
    </row>
    <row r="24" spans="1:42" s="56" customFormat="1" ht="23.45" customHeight="1">
      <c r="A24" s="64" t="s">
        <v>18</v>
      </c>
      <c r="B24" s="34">
        <f>C24</f>
        <v>14</v>
      </c>
      <c r="C24" s="35">
        <f t="shared" si="1"/>
        <v>14</v>
      </c>
      <c r="D24" s="92"/>
      <c r="E24" s="99"/>
      <c r="F24" s="16"/>
      <c r="G24" s="80">
        <v>1</v>
      </c>
      <c r="H24" s="12"/>
      <c r="I24" s="33"/>
      <c r="J24" s="80"/>
      <c r="K24" s="13"/>
      <c r="L24" s="13"/>
      <c r="M24" s="13"/>
      <c r="N24" s="12"/>
      <c r="O24" s="12"/>
      <c r="P24" s="12"/>
      <c r="Q24" s="12">
        <v>1</v>
      </c>
      <c r="R24" s="33"/>
      <c r="S24" s="78">
        <v>1</v>
      </c>
      <c r="T24" s="13"/>
      <c r="U24" s="13"/>
      <c r="V24" s="13"/>
      <c r="W24" s="13"/>
      <c r="X24" s="13"/>
      <c r="Y24" s="14">
        <v>2</v>
      </c>
      <c r="Z24" s="13"/>
      <c r="AA24" s="71"/>
      <c r="AB24" s="78">
        <v>1</v>
      </c>
      <c r="AC24" s="13"/>
      <c r="AD24" s="14">
        <v>2</v>
      </c>
      <c r="AE24" s="13"/>
      <c r="AF24" s="71">
        <v>1</v>
      </c>
      <c r="AG24" s="78"/>
      <c r="AH24" s="15">
        <v>1</v>
      </c>
      <c r="AI24" s="15">
        <v>1</v>
      </c>
      <c r="AJ24" s="71">
        <v>1</v>
      </c>
      <c r="AK24" s="11"/>
      <c r="AL24" s="13"/>
      <c r="AM24" s="12">
        <v>1</v>
      </c>
      <c r="AN24" s="12">
        <v>1</v>
      </c>
      <c r="AO24" s="47"/>
      <c r="AP24" s="59"/>
    </row>
    <row r="25" spans="1:42" ht="23.45" customHeight="1">
      <c r="A25" s="64" t="s">
        <v>21</v>
      </c>
      <c r="B25" s="34">
        <f>C25</f>
        <v>4</v>
      </c>
      <c r="C25" s="103">
        <f>SUM(D25:AO25)</f>
        <v>4</v>
      </c>
      <c r="D25" s="104"/>
      <c r="E25" s="109"/>
      <c r="F25" s="107"/>
      <c r="G25" s="80">
        <v>1</v>
      </c>
      <c r="H25" s="12"/>
      <c r="I25" s="33"/>
      <c r="J25" s="80"/>
      <c r="K25" s="12"/>
      <c r="L25" s="12"/>
      <c r="M25" s="12"/>
      <c r="N25" s="12"/>
      <c r="O25" s="12"/>
      <c r="P25" s="12"/>
      <c r="Q25" s="12">
        <v>1</v>
      </c>
      <c r="R25" s="33"/>
      <c r="S25" s="80">
        <v>1</v>
      </c>
      <c r="T25" s="12"/>
      <c r="U25" s="12"/>
      <c r="V25" s="12"/>
      <c r="W25" s="12"/>
      <c r="X25" s="12"/>
      <c r="Y25" s="105"/>
      <c r="Z25" s="12"/>
      <c r="AA25" s="33"/>
      <c r="AB25" s="80"/>
      <c r="AC25" s="12"/>
      <c r="AD25" s="105"/>
      <c r="AE25" s="12"/>
      <c r="AF25" s="33"/>
      <c r="AG25" s="80"/>
      <c r="AH25" s="12"/>
      <c r="AI25" s="12"/>
      <c r="AJ25" s="33">
        <v>1</v>
      </c>
      <c r="AK25" s="27"/>
      <c r="AL25" s="12"/>
      <c r="AM25" s="12"/>
      <c r="AN25" s="12"/>
      <c r="AO25" s="47"/>
      <c r="AP25" s="59"/>
    </row>
    <row r="26" spans="1:42" ht="23.45" customHeight="1" thickBot="1">
      <c r="A26" s="115" t="s">
        <v>74</v>
      </c>
      <c r="B26" s="116">
        <f>C26</f>
        <v>8</v>
      </c>
      <c r="C26" s="117">
        <f>SUM(D26:AO26)</f>
        <v>8</v>
      </c>
      <c r="D26" s="118"/>
      <c r="E26" s="119"/>
      <c r="F26" s="120"/>
      <c r="G26" s="123">
        <v>1</v>
      </c>
      <c r="H26" s="124"/>
      <c r="I26" s="122"/>
      <c r="J26" s="123"/>
      <c r="K26" s="124"/>
      <c r="L26" s="124"/>
      <c r="M26" s="124"/>
      <c r="N26" s="124"/>
      <c r="O26" s="124"/>
      <c r="P26" s="124"/>
      <c r="Q26" s="124"/>
      <c r="R26" s="122"/>
      <c r="S26" s="123">
        <v>1</v>
      </c>
      <c r="T26" s="124"/>
      <c r="U26" s="124"/>
      <c r="V26" s="124"/>
      <c r="W26" s="124">
        <v>1</v>
      </c>
      <c r="X26" s="124"/>
      <c r="Y26" s="125"/>
      <c r="Z26" s="124"/>
      <c r="AA26" s="122"/>
      <c r="AB26" s="123"/>
      <c r="AC26" s="124"/>
      <c r="AD26" s="125">
        <v>1</v>
      </c>
      <c r="AE26" s="124">
        <v>1</v>
      </c>
      <c r="AF26" s="122">
        <v>1</v>
      </c>
      <c r="AG26" s="123"/>
      <c r="AH26" s="124"/>
      <c r="AI26" s="124"/>
      <c r="AJ26" s="122">
        <v>1</v>
      </c>
      <c r="AK26" s="121">
        <v>1</v>
      </c>
      <c r="AL26" s="124"/>
      <c r="AM26" s="124"/>
      <c r="AN26" s="124"/>
      <c r="AO26" s="106"/>
      <c r="AP26" s="59"/>
    </row>
  </sheetData>
  <mergeCells count="49">
    <mergeCell ref="A2:AP2"/>
    <mergeCell ref="A4:A7"/>
    <mergeCell ref="B4:B7"/>
    <mergeCell ref="C4:AO4"/>
    <mergeCell ref="C5:C7"/>
    <mergeCell ref="D5:D7"/>
    <mergeCell ref="J5:R5"/>
    <mergeCell ref="S5:AA5"/>
    <mergeCell ref="E6:E7"/>
    <mergeCell ref="G6:G7"/>
    <mergeCell ref="H6:H7"/>
    <mergeCell ref="J6:J7"/>
    <mergeCell ref="F6:F7"/>
    <mergeCell ref="AL6:AL7"/>
    <mergeCell ref="AM6:AM7"/>
    <mergeCell ref="AN6:AN7"/>
    <mergeCell ref="M6:M7"/>
    <mergeCell ref="N6:N7"/>
    <mergeCell ref="O6:O7"/>
    <mergeCell ref="P6:P7"/>
    <mergeCell ref="Q6:Q7"/>
    <mergeCell ref="U6:U7"/>
    <mergeCell ref="G5:I5"/>
    <mergeCell ref="I6:I7"/>
    <mergeCell ref="AB5:AF5"/>
    <mergeCell ref="AG5:AJ5"/>
    <mergeCell ref="V6:V7"/>
    <mergeCell ref="W6:W7"/>
    <mergeCell ref="X6:X7"/>
    <mergeCell ref="Y6:Y7"/>
    <mergeCell ref="T6:T7"/>
    <mergeCell ref="AC6:AC7"/>
    <mergeCell ref="AD6:AD7"/>
    <mergeCell ref="K6:K7"/>
    <mergeCell ref="R6:R7"/>
    <mergeCell ref="S6:S7"/>
    <mergeCell ref="L6:L7"/>
    <mergeCell ref="AK5:AO5"/>
    <mergeCell ref="AO6:AO7"/>
    <mergeCell ref="AI6:AI7"/>
    <mergeCell ref="AJ6:AJ7"/>
    <mergeCell ref="Z6:Z7"/>
    <mergeCell ref="AE6:AE7"/>
    <mergeCell ref="AA6:AA7"/>
    <mergeCell ref="AB6:AB7"/>
    <mergeCell ref="AH6:AH7"/>
    <mergeCell ref="AK6:AK7"/>
    <mergeCell ref="AF6:AF7"/>
    <mergeCell ref="AG6:AG7"/>
  </mergeCells>
  <phoneticPr fontId="1" type="noConversion"/>
  <printOptions horizontalCentered="1"/>
  <pageMargins left="0.23622047244094491" right="0.19685039370078741" top="0.51181102362204722" bottom="0.51181102362204722" header="0.51181102362204722" footer="0.51181102362204722"/>
  <pageSetup paperSize="9"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6"/>
  <sheetViews>
    <sheetView view="pageBreakPreview" zoomScale="85" zoomScaleNormal="85" zoomScaleSheetLayoutView="85" workbookViewId="0">
      <selection activeCell="A2" sqref="A2:AP2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80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5" t="s">
        <v>60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</row>
    <row r="3" spans="1:42" s="48" customFormat="1" ht="17.25" customHeight="1" thickBot="1">
      <c r="A3" s="132" t="s">
        <v>79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6" t="s">
        <v>20</v>
      </c>
      <c r="B4" s="219" t="s">
        <v>68</v>
      </c>
      <c r="C4" s="222" t="s">
        <v>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2" customFormat="1" ht="23.25" customHeight="1" thickTop="1">
      <c r="A5" s="217"/>
      <c r="B5" s="220"/>
      <c r="C5" s="225" t="s">
        <v>23</v>
      </c>
      <c r="D5" s="228" t="s">
        <v>24</v>
      </c>
      <c r="E5" s="96" t="s">
        <v>25</v>
      </c>
      <c r="F5" s="96" t="s">
        <v>71</v>
      </c>
      <c r="G5" s="196" t="s">
        <v>26</v>
      </c>
      <c r="H5" s="197"/>
      <c r="I5" s="198"/>
      <c r="J5" s="231" t="s">
        <v>27</v>
      </c>
      <c r="K5" s="232"/>
      <c r="L5" s="232"/>
      <c r="M5" s="232"/>
      <c r="N5" s="232"/>
      <c r="O5" s="232"/>
      <c r="P5" s="232"/>
      <c r="Q5" s="232"/>
      <c r="R5" s="232"/>
      <c r="S5" s="233"/>
      <c r="T5" s="196" t="s">
        <v>28</v>
      </c>
      <c r="U5" s="197"/>
      <c r="V5" s="197"/>
      <c r="W5" s="197"/>
      <c r="X5" s="197"/>
      <c r="Y5" s="197"/>
      <c r="Z5" s="197"/>
      <c r="AA5" s="197"/>
      <c r="AB5" s="198"/>
      <c r="AC5" s="201" t="s">
        <v>29</v>
      </c>
      <c r="AD5" s="202"/>
      <c r="AE5" s="202"/>
      <c r="AF5" s="202"/>
      <c r="AG5" s="203"/>
      <c r="AH5" s="201" t="s">
        <v>19</v>
      </c>
      <c r="AI5" s="204"/>
      <c r="AJ5" s="204"/>
      <c r="AK5" s="203"/>
      <c r="AL5" s="178" t="s">
        <v>30</v>
      </c>
      <c r="AM5" s="178"/>
      <c r="AN5" s="178"/>
      <c r="AO5" s="178"/>
      <c r="AP5" s="179"/>
    </row>
    <row r="6" spans="1:42" s="55" customFormat="1" ht="114" customHeight="1">
      <c r="A6" s="217"/>
      <c r="B6" s="220"/>
      <c r="C6" s="226"/>
      <c r="D6" s="229"/>
      <c r="E6" s="241" t="s">
        <v>69</v>
      </c>
      <c r="F6" s="243" t="s">
        <v>73</v>
      </c>
      <c r="G6" s="190" t="s">
        <v>31</v>
      </c>
      <c r="H6" s="207" t="s">
        <v>32</v>
      </c>
      <c r="I6" s="199" t="s">
        <v>75</v>
      </c>
      <c r="J6" s="236" t="s">
        <v>33</v>
      </c>
      <c r="K6" s="182" t="s">
        <v>66</v>
      </c>
      <c r="L6" s="207" t="s">
        <v>34</v>
      </c>
      <c r="M6" s="207" t="s">
        <v>35</v>
      </c>
      <c r="N6" s="213" t="s">
        <v>36</v>
      </c>
      <c r="O6" s="182" t="s">
        <v>37</v>
      </c>
      <c r="P6" s="182" t="s">
        <v>67</v>
      </c>
      <c r="Q6" s="186" t="s">
        <v>61</v>
      </c>
      <c r="R6" s="186" t="s">
        <v>38</v>
      </c>
      <c r="S6" s="188" t="s">
        <v>39</v>
      </c>
      <c r="T6" s="190" t="s">
        <v>40</v>
      </c>
      <c r="U6" s="194" t="s">
        <v>64</v>
      </c>
      <c r="V6" s="194" t="s">
        <v>65</v>
      </c>
      <c r="W6" s="194" t="s">
        <v>41</v>
      </c>
      <c r="X6" s="186" t="s">
        <v>42</v>
      </c>
      <c r="Y6" s="186" t="s">
        <v>43</v>
      </c>
      <c r="Z6" s="205" t="s">
        <v>44</v>
      </c>
      <c r="AA6" s="186" t="s">
        <v>62</v>
      </c>
      <c r="AB6" s="188" t="s">
        <v>45</v>
      </c>
      <c r="AC6" s="190" t="s">
        <v>46</v>
      </c>
      <c r="AD6" s="207" t="s">
        <v>47</v>
      </c>
      <c r="AE6" s="209" t="s">
        <v>48</v>
      </c>
      <c r="AF6" s="182" t="s">
        <v>49</v>
      </c>
      <c r="AG6" s="184" t="s">
        <v>50</v>
      </c>
      <c r="AH6" s="190" t="s">
        <v>51</v>
      </c>
      <c r="AI6" s="182" t="s">
        <v>52</v>
      </c>
      <c r="AJ6" s="182" t="s">
        <v>53</v>
      </c>
      <c r="AK6" s="184" t="s">
        <v>54</v>
      </c>
      <c r="AL6" s="192" t="s">
        <v>55</v>
      </c>
      <c r="AM6" s="213" t="s">
        <v>56</v>
      </c>
      <c r="AN6" s="213" t="s">
        <v>57</v>
      </c>
      <c r="AO6" s="213" t="s">
        <v>58</v>
      </c>
      <c r="AP6" s="180" t="s">
        <v>59</v>
      </c>
    </row>
    <row r="7" spans="1:42" s="56" customFormat="1" ht="104.25" customHeight="1" thickBot="1">
      <c r="A7" s="218"/>
      <c r="B7" s="221"/>
      <c r="C7" s="227"/>
      <c r="D7" s="230"/>
      <c r="E7" s="242"/>
      <c r="F7" s="244"/>
      <c r="G7" s="191"/>
      <c r="H7" s="208"/>
      <c r="I7" s="200"/>
      <c r="J7" s="237"/>
      <c r="K7" s="211"/>
      <c r="L7" s="208"/>
      <c r="M7" s="208"/>
      <c r="N7" s="214"/>
      <c r="O7" s="183"/>
      <c r="P7" s="183"/>
      <c r="Q7" s="187"/>
      <c r="R7" s="187"/>
      <c r="S7" s="189"/>
      <c r="T7" s="212"/>
      <c r="U7" s="195"/>
      <c r="V7" s="195"/>
      <c r="W7" s="195"/>
      <c r="X7" s="187"/>
      <c r="Y7" s="187"/>
      <c r="Z7" s="206"/>
      <c r="AA7" s="187"/>
      <c r="AB7" s="189"/>
      <c r="AC7" s="191"/>
      <c r="AD7" s="208"/>
      <c r="AE7" s="210"/>
      <c r="AF7" s="183"/>
      <c r="AG7" s="185"/>
      <c r="AH7" s="191"/>
      <c r="AI7" s="183"/>
      <c r="AJ7" s="183"/>
      <c r="AK7" s="185"/>
      <c r="AL7" s="193"/>
      <c r="AM7" s="240"/>
      <c r="AN7" s="240"/>
      <c r="AO7" s="240"/>
      <c r="AP7" s="181"/>
    </row>
    <row r="8" spans="1:42" s="60" customFormat="1" ht="23.45" customHeight="1" thickTop="1" thickBot="1">
      <c r="A8" s="57" t="s">
        <v>14</v>
      </c>
      <c r="B8" s="37">
        <f t="shared" ref="B8:B16" si="0">C8</f>
        <v>236</v>
      </c>
      <c r="C8" s="58">
        <f t="shared" ref="C8:C24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0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2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65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1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7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62">
        <v>1</v>
      </c>
      <c r="AA11" s="13"/>
      <c r="AB11" s="71">
        <v>2</v>
      </c>
      <c r="AC11" s="78"/>
      <c r="AD11" s="13"/>
      <c r="AE11" s="162">
        <v>7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0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58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160">
        <v>1</v>
      </c>
      <c r="AA15" s="5"/>
      <c r="AB15" s="70"/>
      <c r="AC15" s="83"/>
      <c r="AD15" s="5"/>
      <c r="AE15" s="160">
        <v>5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/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/>
      <c r="AA16" s="13"/>
      <c r="AB16" s="71"/>
      <c r="AC16" s="78"/>
      <c r="AD16" s="13"/>
      <c r="AE16" s="161">
        <v>5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ref="B17:B23" si="5">C17</f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/>
      <c r="AA17" s="13"/>
      <c r="AB17" s="71"/>
      <c r="AC17" s="78"/>
      <c r="AD17" s="13"/>
      <c r="AE17" s="161">
        <v>4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5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/>
      <c r="AA18" s="13"/>
      <c r="AB18" s="71"/>
      <c r="AC18" s="78"/>
      <c r="AD18" s="13"/>
      <c r="AE18" s="161">
        <v>7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5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/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/>
      <c r="AA19" s="13"/>
      <c r="AB19" s="71"/>
      <c r="AC19" s="78">
        <v>1</v>
      </c>
      <c r="AD19" s="13"/>
      <c r="AE19" s="161">
        <v>8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5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/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/>
      <c r="AA20" s="13"/>
      <c r="AB20" s="71"/>
      <c r="AC20" s="78"/>
      <c r="AD20" s="13"/>
      <c r="AE20" s="161">
        <v>7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5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/>
      <c r="AA21" s="13"/>
      <c r="AB21" s="71"/>
      <c r="AC21" s="78"/>
      <c r="AD21" s="13"/>
      <c r="AE21" s="161">
        <v>7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5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/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/>
      <c r="AA22" s="13"/>
      <c r="AB22" s="71"/>
      <c r="AC22" s="78">
        <v>1</v>
      </c>
      <c r="AD22" s="13"/>
      <c r="AE22" s="134">
        <v>6</v>
      </c>
      <c r="AF22" s="13">
        <v>1</v>
      </c>
      <c r="AG22" s="71"/>
      <c r="AH22" s="78"/>
      <c r="AI22" s="15">
        <v>2</v>
      </c>
      <c r="AJ22" s="15">
        <v>1</v>
      </c>
      <c r="AK22" s="71">
        <v>2</v>
      </c>
      <c r="AL22" s="173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5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/>
      <c r="AA23" s="29"/>
      <c r="AB23" s="85"/>
      <c r="AC23" s="84"/>
      <c r="AD23" s="29"/>
      <c r="AE23" s="163">
        <v>4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4"/>
      <c r="AA24" s="13"/>
      <c r="AB24" s="71"/>
      <c r="AC24" s="78">
        <v>1</v>
      </c>
      <c r="AD24" s="13"/>
      <c r="AE24" s="162">
        <v>4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ref="C25" si="6">SUM(D25:AP25)</f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J5:S5"/>
    <mergeCell ref="T5:AB5"/>
    <mergeCell ref="AL5:AP5"/>
    <mergeCell ref="E6:E7"/>
    <mergeCell ref="G6:G7"/>
    <mergeCell ref="H6:H7"/>
    <mergeCell ref="J6:J7"/>
    <mergeCell ref="F6:F7"/>
    <mergeCell ref="K6:K7"/>
    <mergeCell ref="N6:N7"/>
    <mergeCell ref="P6:P7"/>
    <mergeCell ref="O6:O7"/>
    <mergeCell ref="U6:U7"/>
    <mergeCell ref="S6:S7"/>
    <mergeCell ref="T6:T7"/>
    <mergeCell ref="Q6:Q7"/>
    <mergeCell ref="R6:R7"/>
    <mergeCell ref="AO6:AO7"/>
    <mergeCell ref="V6:V7"/>
    <mergeCell ref="AP6:AP7"/>
    <mergeCell ref="AJ6:AJ7"/>
    <mergeCell ref="AM6:AM7"/>
    <mergeCell ref="Z6:Z7"/>
    <mergeCell ref="AB6:AB7"/>
    <mergeCell ref="AA6:AA7"/>
    <mergeCell ref="W6:W7"/>
    <mergeCell ref="X6:X7"/>
    <mergeCell ref="Y6:Y7"/>
    <mergeCell ref="I6:I7"/>
    <mergeCell ref="G5:I5"/>
    <mergeCell ref="AC5:AG5"/>
    <mergeCell ref="AH5:AK5"/>
    <mergeCell ref="AN6:AN7"/>
    <mergeCell ref="AD6:AD7"/>
    <mergeCell ref="AE6:AE7"/>
    <mergeCell ref="AK6:AK7"/>
    <mergeCell ref="AL6:AL7"/>
    <mergeCell ref="AF6:AF7"/>
    <mergeCell ref="AG6:AG7"/>
    <mergeCell ref="AH6:AH7"/>
    <mergeCell ref="AI6:AI7"/>
    <mergeCell ref="AC6:AC7"/>
    <mergeCell ref="L6:L7"/>
    <mergeCell ref="M6:M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P26"/>
  <sheetViews>
    <sheetView tabSelected="1" view="pageBreakPreview" zoomScale="85" zoomScaleNormal="85" zoomScaleSheetLayoutView="85" workbookViewId="0">
      <selection activeCell="A2" sqref="A2:AP2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81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5" t="s">
        <v>60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</row>
    <row r="3" spans="1:42" s="48" customFormat="1" ht="17.25" customHeight="1" thickBot="1">
      <c r="A3" s="132" t="s">
        <v>76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6" t="s">
        <v>20</v>
      </c>
      <c r="B4" s="219" t="s">
        <v>68</v>
      </c>
      <c r="C4" s="222" t="s">
        <v>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2" customFormat="1" ht="23.25" customHeight="1" thickTop="1">
      <c r="A5" s="217"/>
      <c r="B5" s="220"/>
      <c r="C5" s="225" t="s">
        <v>23</v>
      </c>
      <c r="D5" s="228" t="s">
        <v>24</v>
      </c>
      <c r="E5" s="96" t="s">
        <v>25</v>
      </c>
      <c r="F5" s="96" t="s">
        <v>70</v>
      </c>
      <c r="G5" s="196" t="s">
        <v>26</v>
      </c>
      <c r="H5" s="197"/>
      <c r="I5" s="198"/>
      <c r="J5" s="231" t="s">
        <v>27</v>
      </c>
      <c r="K5" s="232"/>
      <c r="L5" s="232"/>
      <c r="M5" s="232"/>
      <c r="N5" s="232"/>
      <c r="O5" s="232"/>
      <c r="P5" s="232"/>
      <c r="Q5" s="232"/>
      <c r="R5" s="232"/>
      <c r="S5" s="233"/>
      <c r="T5" s="196" t="s">
        <v>28</v>
      </c>
      <c r="U5" s="197"/>
      <c r="V5" s="197"/>
      <c r="W5" s="197"/>
      <c r="X5" s="197"/>
      <c r="Y5" s="197"/>
      <c r="Z5" s="197"/>
      <c r="AA5" s="197"/>
      <c r="AB5" s="198"/>
      <c r="AC5" s="201" t="s">
        <v>29</v>
      </c>
      <c r="AD5" s="202"/>
      <c r="AE5" s="202"/>
      <c r="AF5" s="202"/>
      <c r="AG5" s="203"/>
      <c r="AH5" s="201" t="s">
        <v>19</v>
      </c>
      <c r="AI5" s="204"/>
      <c r="AJ5" s="204"/>
      <c r="AK5" s="203"/>
      <c r="AL5" s="178" t="s">
        <v>30</v>
      </c>
      <c r="AM5" s="178"/>
      <c r="AN5" s="178"/>
      <c r="AO5" s="178"/>
      <c r="AP5" s="179"/>
    </row>
    <row r="6" spans="1:42" s="55" customFormat="1" ht="114" customHeight="1">
      <c r="A6" s="217"/>
      <c r="B6" s="220"/>
      <c r="C6" s="226"/>
      <c r="D6" s="229"/>
      <c r="E6" s="241" t="s">
        <v>69</v>
      </c>
      <c r="F6" s="243" t="s">
        <v>73</v>
      </c>
      <c r="G6" s="190" t="s">
        <v>31</v>
      </c>
      <c r="H6" s="207" t="s">
        <v>32</v>
      </c>
      <c r="I6" s="199" t="s">
        <v>75</v>
      </c>
      <c r="J6" s="236" t="s">
        <v>33</v>
      </c>
      <c r="K6" s="182" t="s">
        <v>66</v>
      </c>
      <c r="L6" s="207" t="s">
        <v>34</v>
      </c>
      <c r="M6" s="207" t="s">
        <v>35</v>
      </c>
      <c r="N6" s="213" t="s">
        <v>36</v>
      </c>
      <c r="O6" s="182" t="s">
        <v>37</v>
      </c>
      <c r="P6" s="182" t="s">
        <v>67</v>
      </c>
      <c r="Q6" s="186" t="s">
        <v>61</v>
      </c>
      <c r="R6" s="186" t="s">
        <v>38</v>
      </c>
      <c r="S6" s="188" t="s">
        <v>39</v>
      </c>
      <c r="T6" s="190" t="s">
        <v>40</v>
      </c>
      <c r="U6" s="194" t="s">
        <v>64</v>
      </c>
      <c r="V6" s="194" t="s">
        <v>65</v>
      </c>
      <c r="W6" s="194" t="s">
        <v>41</v>
      </c>
      <c r="X6" s="186" t="s">
        <v>42</v>
      </c>
      <c r="Y6" s="186" t="s">
        <v>43</v>
      </c>
      <c r="Z6" s="186" t="s">
        <v>44</v>
      </c>
      <c r="AA6" s="186" t="s">
        <v>62</v>
      </c>
      <c r="AB6" s="188" t="s">
        <v>45</v>
      </c>
      <c r="AC6" s="190" t="s">
        <v>46</v>
      </c>
      <c r="AD6" s="207" t="s">
        <v>47</v>
      </c>
      <c r="AE6" s="182" t="s">
        <v>48</v>
      </c>
      <c r="AF6" s="182" t="s">
        <v>49</v>
      </c>
      <c r="AG6" s="184" t="s">
        <v>50</v>
      </c>
      <c r="AH6" s="190" t="s">
        <v>51</v>
      </c>
      <c r="AI6" s="182" t="s">
        <v>52</v>
      </c>
      <c r="AJ6" s="182" t="s">
        <v>53</v>
      </c>
      <c r="AK6" s="184" t="s">
        <v>54</v>
      </c>
      <c r="AL6" s="192" t="s">
        <v>55</v>
      </c>
      <c r="AM6" s="213" t="s">
        <v>56</v>
      </c>
      <c r="AN6" s="213" t="s">
        <v>57</v>
      </c>
      <c r="AO6" s="213" t="s">
        <v>58</v>
      </c>
      <c r="AP6" s="180" t="s">
        <v>59</v>
      </c>
    </row>
    <row r="7" spans="1:42" s="56" customFormat="1" ht="104.25" customHeight="1" thickBot="1">
      <c r="A7" s="218"/>
      <c r="B7" s="221"/>
      <c r="C7" s="227"/>
      <c r="D7" s="230"/>
      <c r="E7" s="242"/>
      <c r="F7" s="244"/>
      <c r="G7" s="191"/>
      <c r="H7" s="208"/>
      <c r="I7" s="200"/>
      <c r="J7" s="237"/>
      <c r="K7" s="211"/>
      <c r="L7" s="208"/>
      <c r="M7" s="208"/>
      <c r="N7" s="214"/>
      <c r="O7" s="183"/>
      <c r="P7" s="183"/>
      <c r="Q7" s="187"/>
      <c r="R7" s="187"/>
      <c r="S7" s="189"/>
      <c r="T7" s="212"/>
      <c r="U7" s="195"/>
      <c r="V7" s="195"/>
      <c r="W7" s="195"/>
      <c r="X7" s="187"/>
      <c r="Y7" s="187"/>
      <c r="Z7" s="187"/>
      <c r="AA7" s="187"/>
      <c r="AB7" s="189"/>
      <c r="AC7" s="191"/>
      <c r="AD7" s="208"/>
      <c r="AE7" s="183"/>
      <c r="AF7" s="183"/>
      <c r="AG7" s="185"/>
      <c r="AH7" s="191"/>
      <c r="AI7" s="183"/>
      <c r="AJ7" s="183"/>
      <c r="AK7" s="185"/>
      <c r="AL7" s="193"/>
      <c r="AM7" s="240"/>
      <c r="AN7" s="240"/>
      <c r="AO7" s="240"/>
      <c r="AP7" s="181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66">
        <f t="shared" si="2"/>
        <v>1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3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63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64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2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6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30">
        <v>2</v>
      </c>
      <c r="AA11" s="13"/>
      <c r="AB11" s="71">
        <v>2</v>
      </c>
      <c r="AC11" s="78"/>
      <c r="AD11" s="13"/>
      <c r="AE11" s="130">
        <v>6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74">
        <f t="shared" si="4"/>
        <v>1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57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41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1</v>
      </c>
      <c r="AA15" s="5"/>
      <c r="AB15" s="70"/>
      <c r="AC15" s="83"/>
      <c r="AD15" s="5"/>
      <c r="AE15" s="7">
        <v>5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4">
        <v>1</v>
      </c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/>
      <c r="AA16" s="13"/>
      <c r="AB16" s="71"/>
      <c r="AC16" s="78"/>
      <c r="AD16" s="13"/>
      <c r="AE16" s="134">
        <v>4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/>
      <c r="AA17" s="13"/>
      <c r="AB17" s="71"/>
      <c r="AC17" s="78"/>
      <c r="AD17" s="13"/>
      <c r="AE17" s="13">
        <v>4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/>
      <c r="AA18" s="13"/>
      <c r="AB18" s="71"/>
      <c r="AC18" s="78"/>
      <c r="AD18" s="13"/>
      <c r="AE18" s="13">
        <v>7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/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/>
      <c r="AA19" s="13"/>
      <c r="AB19" s="71"/>
      <c r="AC19" s="78">
        <v>1</v>
      </c>
      <c r="AD19" s="13"/>
      <c r="AE19" s="13">
        <v>8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/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/>
      <c r="AA20" s="13"/>
      <c r="AB20" s="71"/>
      <c r="AC20" s="78"/>
      <c r="AD20" s="13"/>
      <c r="AE20" s="13">
        <v>7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/>
      <c r="AA21" s="13"/>
      <c r="AB21" s="71"/>
      <c r="AC21" s="78"/>
      <c r="AD21" s="13"/>
      <c r="AE21" s="13">
        <v>7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61"/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/>
      <c r="AA22" s="13"/>
      <c r="AB22" s="71"/>
      <c r="AC22" s="78">
        <v>1</v>
      </c>
      <c r="AD22" s="13"/>
      <c r="AE22" s="13">
        <v>6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1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/>
      <c r="AA23" s="29"/>
      <c r="AB23" s="85"/>
      <c r="AC23" s="84"/>
      <c r="AD23" s="29"/>
      <c r="AE23" s="31">
        <v>4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30"/>
      <c r="AA24" s="13"/>
      <c r="AB24" s="71"/>
      <c r="AC24" s="78">
        <v>1</v>
      </c>
      <c r="AD24" s="13"/>
      <c r="AE24" s="14">
        <v>4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6"/>
  <sheetViews>
    <sheetView view="pageBreakPreview" zoomScale="85" zoomScaleNormal="85" zoomScaleSheetLayoutView="85" workbookViewId="0">
      <selection activeCell="A2" sqref="A2:AP2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82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5" t="s">
        <v>60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</row>
    <row r="3" spans="1:42" s="48" customFormat="1" ht="17.25" customHeight="1" thickBot="1">
      <c r="A3" s="132" t="s">
        <v>77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6" t="s">
        <v>20</v>
      </c>
      <c r="B4" s="219" t="s">
        <v>68</v>
      </c>
      <c r="C4" s="222" t="s">
        <v>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2" customFormat="1" ht="23.25" customHeight="1" thickTop="1">
      <c r="A5" s="217"/>
      <c r="B5" s="220"/>
      <c r="C5" s="225" t="s">
        <v>23</v>
      </c>
      <c r="D5" s="228" t="s">
        <v>24</v>
      </c>
      <c r="E5" s="96" t="s">
        <v>25</v>
      </c>
      <c r="F5" s="96" t="s">
        <v>70</v>
      </c>
      <c r="G5" s="196" t="s">
        <v>26</v>
      </c>
      <c r="H5" s="197"/>
      <c r="I5" s="198"/>
      <c r="J5" s="231" t="s">
        <v>27</v>
      </c>
      <c r="K5" s="232"/>
      <c r="L5" s="232"/>
      <c r="M5" s="232"/>
      <c r="N5" s="232"/>
      <c r="O5" s="232"/>
      <c r="P5" s="232"/>
      <c r="Q5" s="232"/>
      <c r="R5" s="232"/>
      <c r="S5" s="233"/>
      <c r="T5" s="196" t="s">
        <v>28</v>
      </c>
      <c r="U5" s="197"/>
      <c r="V5" s="197"/>
      <c r="W5" s="197"/>
      <c r="X5" s="197"/>
      <c r="Y5" s="197"/>
      <c r="Z5" s="197"/>
      <c r="AA5" s="197"/>
      <c r="AB5" s="198"/>
      <c r="AC5" s="201" t="s">
        <v>29</v>
      </c>
      <c r="AD5" s="202"/>
      <c r="AE5" s="202"/>
      <c r="AF5" s="202"/>
      <c r="AG5" s="203"/>
      <c r="AH5" s="201" t="s">
        <v>19</v>
      </c>
      <c r="AI5" s="204"/>
      <c r="AJ5" s="204"/>
      <c r="AK5" s="203"/>
      <c r="AL5" s="178" t="s">
        <v>30</v>
      </c>
      <c r="AM5" s="178"/>
      <c r="AN5" s="178"/>
      <c r="AO5" s="178"/>
      <c r="AP5" s="179"/>
    </row>
    <row r="6" spans="1:42" s="55" customFormat="1" ht="114" customHeight="1">
      <c r="A6" s="217"/>
      <c r="B6" s="220"/>
      <c r="C6" s="226"/>
      <c r="D6" s="229"/>
      <c r="E6" s="241" t="s">
        <v>69</v>
      </c>
      <c r="F6" s="243" t="s">
        <v>73</v>
      </c>
      <c r="G6" s="190" t="s">
        <v>31</v>
      </c>
      <c r="H6" s="207" t="s">
        <v>32</v>
      </c>
      <c r="I6" s="199" t="s">
        <v>75</v>
      </c>
      <c r="J6" s="236" t="s">
        <v>33</v>
      </c>
      <c r="K6" s="182" t="s">
        <v>66</v>
      </c>
      <c r="L6" s="207" t="s">
        <v>34</v>
      </c>
      <c r="M6" s="207" t="s">
        <v>35</v>
      </c>
      <c r="N6" s="213" t="s">
        <v>36</v>
      </c>
      <c r="O6" s="182" t="s">
        <v>37</v>
      </c>
      <c r="P6" s="182" t="s">
        <v>67</v>
      </c>
      <c r="Q6" s="186" t="s">
        <v>61</v>
      </c>
      <c r="R6" s="186" t="s">
        <v>38</v>
      </c>
      <c r="S6" s="188" t="s">
        <v>39</v>
      </c>
      <c r="T6" s="190" t="s">
        <v>40</v>
      </c>
      <c r="U6" s="194" t="s">
        <v>64</v>
      </c>
      <c r="V6" s="194" t="s">
        <v>65</v>
      </c>
      <c r="W6" s="194" t="s">
        <v>41</v>
      </c>
      <c r="X6" s="186" t="s">
        <v>42</v>
      </c>
      <c r="Y6" s="186" t="s">
        <v>43</v>
      </c>
      <c r="Z6" s="186" t="s">
        <v>44</v>
      </c>
      <c r="AA6" s="186" t="s">
        <v>62</v>
      </c>
      <c r="AB6" s="188" t="s">
        <v>45</v>
      </c>
      <c r="AC6" s="190" t="s">
        <v>46</v>
      </c>
      <c r="AD6" s="207" t="s">
        <v>47</v>
      </c>
      <c r="AE6" s="182" t="s">
        <v>48</v>
      </c>
      <c r="AF6" s="182" t="s">
        <v>49</v>
      </c>
      <c r="AG6" s="184" t="s">
        <v>50</v>
      </c>
      <c r="AH6" s="190" t="s">
        <v>51</v>
      </c>
      <c r="AI6" s="182" t="s">
        <v>52</v>
      </c>
      <c r="AJ6" s="182" t="s">
        <v>53</v>
      </c>
      <c r="AK6" s="184" t="s">
        <v>54</v>
      </c>
      <c r="AL6" s="192" t="s">
        <v>55</v>
      </c>
      <c r="AM6" s="213" t="s">
        <v>56</v>
      </c>
      <c r="AN6" s="213" t="s">
        <v>57</v>
      </c>
      <c r="AO6" s="213" t="s">
        <v>58</v>
      </c>
      <c r="AP6" s="180" t="s">
        <v>59</v>
      </c>
    </row>
    <row r="7" spans="1:42" s="56" customFormat="1" ht="104.25" customHeight="1" thickBot="1">
      <c r="A7" s="218"/>
      <c r="B7" s="221"/>
      <c r="C7" s="227"/>
      <c r="D7" s="230"/>
      <c r="E7" s="242"/>
      <c r="F7" s="244"/>
      <c r="G7" s="191"/>
      <c r="H7" s="208"/>
      <c r="I7" s="200"/>
      <c r="J7" s="237"/>
      <c r="K7" s="211"/>
      <c r="L7" s="208"/>
      <c r="M7" s="208"/>
      <c r="N7" s="214"/>
      <c r="O7" s="183"/>
      <c r="P7" s="183"/>
      <c r="Q7" s="187"/>
      <c r="R7" s="187"/>
      <c r="S7" s="189"/>
      <c r="T7" s="212"/>
      <c r="U7" s="195"/>
      <c r="V7" s="195"/>
      <c r="W7" s="195"/>
      <c r="X7" s="187"/>
      <c r="Y7" s="187"/>
      <c r="Z7" s="187"/>
      <c r="AA7" s="187"/>
      <c r="AB7" s="189"/>
      <c r="AC7" s="191"/>
      <c r="AD7" s="208"/>
      <c r="AE7" s="183"/>
      <c r="AF7" s="183"/>
      <c r="AG7" s="185"/>
      <c r="AH7" s="191"/>
      <c r="AI7" s="183"/>
      <c r="AJ7" s="183"/>
      <c r="AK7" s="185"/>
      <c r="AL7" s="193"/>
      <c r="AM7" s="240"/>
      <c r="AN7" s="240"/>
      <c r="AO7" s="240"/>
      <c r="AP7" s="181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17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46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3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5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30">
        <v>3</v>
      </c>
      <c r="AA11" s="13"/>
      <c r="AB11" s="71">
        <v>2</v>
      </c>
      <c r="AC11" s="78"/>
      <c r="AD11" s="13"/>
      <c r="AE11" s="130">
        <v>5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4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14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41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176">
        <v>1</v>
      </c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1</v>
      </c>
      <c r="AA15" s="5"/>
      <c r="AB15" s="70"/>
      <c r="AC15" s="83"/>
      <c r="AD15" s="5"/>
      <c r="AE15" s="160">
        <v>4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>
        <v>1</v>
      </c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30">
        <v>1</v>
      </c>
      <c r="AA16" s="13"/>
      <c r="AB16" s="71"/>
      <c r="AC16" s="78"/>
      <c r="AD16" s="13"/>
      <c r="AE16" s="161">
        <v>3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30">
        <v>1</v>
      </c>
      <c r="AA17" s="13"/>
      <c r="AB17" s="71"/>
      <c r="AC17" s="78"/>
      <c r="AD17" s="13"/>
      <c r="AE17" s="161">
        <v>3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30">
        <v>2</v>
      </c>
      <c r="AA18" s="13"/>
      <c r="AB18" s="71"/>
      <c r="AC18" s="78"/>
      <c r="AD18" s="13"/>
      <c r="AE18" s="161">
        <v>5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4">
        <v>1</v>
      </c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30">
        <v>2</v>
      </c>
      <c r="AA19" s="13"/>
      <c r="AB19" s="71"/>
      <c r="AC19" s="78">
        <v>1</v>
      </c>
      <c r="AD19" s="13"/>
      <c r="AE19" s="161">
        <v>5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4">
        <v>1</v>
      </c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30">
        <v>2</v>
      </c>
      <c r="AA20" s="13"/>
      <c r="AB20" s="71"/>
      <c r="AC20" s="78"/>
      <c r="AD20" s="13"/>
      <c r="AE20" s="161">
        <v>4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30">
        <v>2</v>
      </c>
      <c r="AA21" s="13"/>
      <c r="AB21" s="71"/>
      <c r="AC21" s="78"/>
      <c r="AD21" s="13"/>
      <c r="AE21" s="161">
        <v>5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/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30">
        <v>1</v>
      </c>
      <c r="AA22" s="13"/>
      <c r="AB22" s="71"/>
      <c r="AC22" s="169">
        <v>1</v>
      </c>
      <c r="AD22" s="161"/>
      <c r="AE22" s="134">
        <v>5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65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177">
        <v>1</v>
      </c>
      <c r="AA23" s="29"/>
      <c r="AB23" s="85"/>
      <c r="AC23" s="84"/>
      <c r="AD23" s="29"/>
      <c r="AE23" s="163">
        <v>3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30">
        <v>1</v>
      </c>
      <c r="AA24" s="13"/>
      <c r="AB24" s="71"/>
      <c r="AC24" s="78">
        <v>1</v>
      </c>
      <c r="AD24" s="13"/>
      <c r="AE24" s="162">
        <v>3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6"/>
  <sheetViews>
    <sheetView view="pageBreakPreview" zoomScale="85" zoomScaleNormal="85" zoomScaleSheetLayoutView="85" workbookViewId="0">
      <selection activeCell="A2" sqref="A2:AP2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83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5" t="s">
        <v>60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</row>
    <row r="3" spans="1:42" s="48" customFormat="1" ht="17.25" customHeight="1" thickBot="1">
      <c r="A3" s="132" t="s">
        <v>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6" t="s">
        <v>20</v>
      </c>
      <c r="B4" s="219" t="s">
        <v>68</v>
      </c>
      <c r="C4" s="222" t="s">
        <v>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2" customFormat="1" ht="23.25" customHeight="1" thickTop="1">
      <c r="A5" s="217"/>
      <c r="B5" s="220"/>
      <c r="C5" s="225" t="s">
        <v>23</v>
      </c>
      <c r="D5" s="228" t="s">
        <v>24</v>
      </c>
      <c r="E5" s="96" t="s">
        <v>25</v>
      </c>
      <c r="F5" s="96" t="s">
        <v>70</v>
      </c>
      <c r="G5" s="196" t="s">
        <v>26</v>
      </c>
      <c r="H5" s="197"/>
      <c r="I5" s="198"/>
      <c r="J5" s="231" t="s">
        <v>27</v>
      </c>
      <c r="K5" s="232"/>
      <c r="L5" s="232"/>
      <c r="M5" s="232"/>
      <c r="N5" s="232"/>
      <c r="O5" s="232"/>
      <c r="P5" s="232"/>
      <c r="Q5" s="232"/>
      <c r="R5" s="232"/>
      <c r="S5" s="233"/>
      <c r="T5" s="196" t="s">
        <v>28</v>
      </c>
      <c r="U5" s="197"/>
      <c r="V5" s="197"/>
      <c r="W5" s="197"/>
      <c r="X5" s="197"/>
      <c r="Y5" s="197"/>
      <c r="Z5" s="197"/>
      <c r="AA5" s="197"/>
      <c r="AB5" s="198"/>
      <c r="AC5" s="201" t="s">
        <v>29</v>
      </c>
      <c r="AD5" s="202"/>
      <c r="AE5" s="202"/>
      <c r="AF5" s="202"/>
      <c r="AG5" s="203"/>
      <c r="AH5" s="201" t="s">
        <v>19</v>
      </c>
      <c r="AI5" s="204"/>
      <c r="AJ5" s="204"/>
      <c r="AK5" s="203"/>
      <c r="AL5" s="178" t="s">
        <v>30</v>
      </c>
      <c r="AM5" s="178"/>
      <c r="AN5" s="178"/>
      <c r="AO5" s="178"/>
      <c r="AP5" s="179"/>
    </row>
    <row r="6" spans="1:42" s="55" customFormat="1" ht="114" customHeight="1">
      <c r="A6" s="217"/>
      <c r="B6" s="220"/>
      <c r="C6" s="226"/>
      <c r="D6" s="229"/>
      <c r="E6" s="241" t="s">
        <v>69</v>
      </c>
      <c r="F6" s="243" t="s">
        <v>73</v>
      </c>
      <c r="G6" s="190" t="s">
        <v>31</v>
      </c>
      <c r="H6" s="207" t="s">
        <v>32</v>
      </c>
      <c r="I6" s="199" t="s">
        <v>75</v>
      </c>
      <c r="J6" s="236" t="s">
        <v>33</v>
      </c>
      <c r="K6" s="182" t="s">
        <v>66</v>
      </c>
      <c r="L6" s="207" t="s">
        <v>34</v>
      </c>
      <c r="M6" s="207" t="s">
        <v>35</v>
      </c>
      <c r="N6" s="213" t="s">
        <v>36</v>
      </c>
      <c r="O6" s="182" t="s">
        <v>37</v>
      </c>
      <c r="P6" s="182" t="s">
        <v>67</v>
      </c>
      <c r="Q6" s="186" t="s">
        <v>61</v>
      </c>
      <c r="R6" s="186" t="s">
        <v>38</v>
      </c>
      <c r="S6" s="188" t="s">
        <v>39</v>
      </c>
      <c r="T6" s="190" t="s">
        <v>40</v>
      </c>
      <c r="U6" s="194" t="s">
        <v>64</v>
      </c>
      <c r="V6" s="194" t="s">
        <v>65</v>
      </c>
      <c r="W6" s="194" t="s">
        <v>41</v>
      </c>
      <c r="X6" s="186" t="s">
        <v>42</v>
      </c>
      <c r="Y6" s="186" t="s">
        <v>43</v>
      </c>
      <c r="Z6" s="186" t="s">
        <v>44</v>
      </c>
      <c r="AA6" s="186" t="s">
        <v>62</v>
      </c>
      <c r="AB6" s="188" t="s">
        <v>45</v>
      </c>
      <c r="AC6" s="190" t="s">
        <v>46</v>
      </c>
      <c r="AD6" s="207" t="s">
        <v>47</v>
      </c>
      <c r="AE6" s="182" t="s">
        <v>48</v>
      </c>
      <c r="AF6" s="182" t="s">
        <v>49</v>
      </c>
      <c r="AG6" s="184" t="s">
        <v>50</v>
      </c>
      <c r="AH6" s="190" t="s">
        <v>51</v>
      </c>
      <c r="AI6" s="182" t="s">
        <v>52</v>
      </c>
      <c r="AJ6" s="182" t="s">
        <v>53</v>
      </c>
      <c r="AK6" s="184" t="s">
        <v>54</v>
      </c>
      <c r="AL6" s="192" t="s">
        <v>55</v>
      </c>
      <c r="AM6" s="213" t="s">
        <v>56</v>
      </c>
      <c r="AN6" s="213" t="s">
        <v>57</v>
      </c>
      <c r="AO6" s="213" t="s">
        <v>58</v>
      </c>
      <c r="AP6" s="180" t="s">
        <v>59</v>
      </c>
    </row>
    <row r="7" spans="1:42" s="56" customFormat="1" ht="104.25" customHeight="1" thickBot="1">
      <c r="A7" s="218"/>
      <c r="B7" s="221"/>
      <c r="C7" s="227"/>
      <c r="D7" s="230"/>
      <c r="E7" s="242"/>
      <c r="F7" s="244"/>
      <c r="G7" s="191"/>
      <c r="H7" s="208"/>
      <c r="I7" s="200"/>
      <c r="J7" s="237"/>
      <c r="K7" s="211"/>
      <c r="L7" s="208"/>
      <c r="M7" s="208"/>
      <c r="N7" s="214"/>
      <c r="O7" s="183"/>
      <c r="P7" s="183"/>
      <c r="Q7" s="187"/>
      <c r="R7" s="187"/>
      <c r="S7" s="189"/>
      <c r="T7" s="212"/>
      <c r="U7" s="195"/>
      <c r="V7" s="195"/>
      <c r="W7" s="195"/>
      <c r="X7" s="187"/>
      <c r="Y7" s="187"/>
      <c r="Z7" s="187"/>
      <c r="AA7" s="187"/>
      <c r="AB7" s="189"/>
      <c r="AC7" s="191"/>
      <c r="AD7" s="208"/>
      <c r="AE7" s="183"/>
      <c r="AF7" s="183"/>
      <c r="AG7" s="185"/>
      <c r="AH7" s="191"/>
      <c r="AI7" s="183"/>
      <c r="AJ7" s="183"/>
      <c r="AK7" s="185"/>
      <c r="AL7" s="193"/>
      <c r="AM7" s="240"/>
      <c r="AN7" s="240"/>
      <c r="AO7" s="240"/>
      <c r="AP7" s="181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28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">
        <f t="shared" si="2"/>
        <v>35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64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4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4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4"/>
      <c r="V11" s="14"/>
      <c r="W11" s="13"/>
      <c r="X11" s="13">
        <v>1</v>
      </c>
      <c r="Y11" s="13"/>
      <c r="Z11" s="14">
        <v>4</v>
      </c>
      <c r="AA11" s="13"/>
      <c r="AB11" s="71">
        <v>2</v>
      </c>
      <c r="AC11" s="78"/>
      <c r="AD11" s="13"/>
      <c r="AE11" s="14">
        <v>4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4"/>
      <c r="V12" s="14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4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24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41">
        <f t="shared" si="4"/>
        <v>31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41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>
        <v>1</v>
      </c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3</v>
      </c>
      <c r="AA15" s="5"/>
      <c r="AB15" s="70"/>
      <c r="AC15" s="83"/>
      <c r="AD15" s="5"/>
      <c r="AE15" s="7">
        <v>2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>
        <v>1</v>
      </c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>
        <v>1</v>
      </c>
      <c r="AA16" s="13"/>
      <c r="AB16" s="71"/>
      <c r="AC16" s="78"/>
      <c r="AD16" s="13"/>
      <c r="AE16" s="13">
        <v>3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>
        <v>3</v>
      </c>
      <c r="AA17" s="13"/>
      <c r="AB17" s="71"/>
      <c r="AC17" s="78"/>
      <c r="AD17" s="13"/>
      <c r="AE17" s="13">
        <v>1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>
        <v>3</v>
      </c>
      <c r="AA18" s="13"/>
      <c r="AB18" s="71"/>
      <c r="AC18" s="78"/>
      <c r="AD18" s="13"/>
      <c r="AE18" s="13">
        <v>4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>
        <v>1</v>
      </c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>
        <v>2</v>
      </c>
      <c r="AA19" s="13"/>
      <c r="AB19" s="71"/>
      <c r="AC19" s="78">
        <v>1</v>
      </c>
      <c r="AD19" s="13"/>
      <c r="AE19" s="13">
        <v>5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>
        <v>1</v>
      </c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>
        <v>2</v>
      </c>
      <c r="AA20" s="13"/>
      <c r="AB20" s="71"/>
      <c r="AC20" s="78"/>
      <c r="AD20" s="13"/>
      <c r="AE20" s="13">
        <v>4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>
        <v>4</v>
      </c>
      <c r="AA21" s="13"/>
      <c r="AB21" s="71"/>
      <c r="AC21" s="78"/>
      <c r="AD21" s="13"/>
      <c r="AE21" s="13">
        <v>3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/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>
        <v>2</v>
      </c>
      <c r="AA22" s="13"/>
      <c r="AB22" s="71"/>
      <c r="AC22" s="78">
        <v>1</v>
      </c>
      <c r="AD22" s="161"/>
      <c r="AE22" s="13">
        <v>4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65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>
        <v>2</v>
      </c>
      <c r="AA23" s="29"/>
      <c r="AB23" s="85"/>
      <c r="AC23" s="84"/>
      <c r="AD23" s="29"/>
      <c r="AE23" s="31">
        <v>2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4">
        <v>2</v>
      </c>
      <c r="AA24" s="13"/>
      <c r="AB24" s="71"/>
      <c r="AC24" s="78">
        <v>1</v>
      </c>
      <c r="AD24" s="13"/>
      <c r="AE24" s="14">
        <v>2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기준 정원(2026.7.22.)</vt:lpstr>
      <vt:lpstr>운영 정원(2026.7.22.)</vt:lpstr>
      <vt:lpstr>운영 정원(2026.8.1.)</vt:lpstr>
      <vt:lpstr>운영 정원(2027.4.1.)</vt:lpstr>
      <vt:lpstr>운영 정원(2028.1.1.)</vt:lpstr>
      <vt:lpstr>'기준 정원(2026.7.22.)'!Print_Area</vt:lpstr>
      <vt:lpstr>'운영 정원(2026.7.22.)'!Print_Area</vt:lpstr>
      <vt:lpstr>'운영 정원(2026.8.1.)'!Print_Area</vt:lpstr>
      <vt:lpstr>'운영 정원(2027.4.1.)'!Print_Area</vt:lpstr>
      <vt:lpstr>'운영 정원(2028.1.1.)'!Print_Area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장윤희</cp:lastModifiedBy>
  <cp:lastPrinted>2026-07-30T02:10:40Z</cp:lastPrinted>
  <dcterms:created xsi:type="dcterms:W3CDTF">2010-08-18T01:21:23Z</dcterms:created>
  <dcterms:modified xsi:type="dcterms:W3CDTF">2026-07-30T02:28:47Z</dcterms:modified>
</cp:coreProperties>
</file>